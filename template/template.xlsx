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doch\Desktop\지출결의서\4월\"/>
    </mc:Choice>
  </mc:AlternateContent>
  <xr:revisionPtr revIDLastSave="0" documentId="13_ncr:1_{77584680-15B9-4F05-AB3A-46D9574E2DFE}" xr6:coauthVersionLast="47" xr6:coauthVersionMax="47" xr10:uidLastSave="{00000000-0000-0000-0000-000000000000}"/>
  <bookViews>
    <workbookView xWindow="-120" yWindow="-120" windowWidth="29040" windowHeight="15720" tabRatio="699" activeTab="1" xr2:uid="{00000000-000D-0000-FFFF-FFFF00000000}"/>
  </bookViews>
  <sheets>
    <sheet name="개정이력" sheetId="41" r:id="rId1"/>
    <sheet name="첨부1.실행예산상세정산" sheetId="28" r:id="rId2"/>
    <sheet name="2-3.차량유지비청구서" sheetId="42" r:id="rId3"/>
    <sheet name="8.설명자료" sheetId="38" r:id="rId4"/>
  </sheets>
  <definedNames>
    <definedName name="_xlnm._FilterDatabase" localSheetId="1" hidden="1">'첨부1.실행예산상세정산'!$B$8:$O$58</definedName>
    <definedName name="_xlnm.Print_Area" localSheetId="2">'2-3.차량유지비청구서'!$A$1:$L$31</definedName>
    <definedName name="_xlnm.Print_Area" localSheetId="3">'8.설명자료'!$A$1:$L$59</definedName>
    <definedName name="_xlnm.Print_Area" localSheetId="0">개정이력!$A$1:$H$15</definedName>
    <definedName name="_xlnm.Print_Area" localSheetId="1">'첨부1.실행예산상세정산'!$B$2:$H$77</definedName>
    <definedName name="_xlnm.Print_Titles" localSheetId="0">개정이력!$2:$4</definedName>
    <definedName name="_xlnm.Print_Titles" localSheetId="1">'첨부1.실행예산상세정산'!$8:$8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7" i="28" l="1"/>
  <c r="D20" i="28"/>
  <c r="D26" i="28"/>
  <c r="D25" i="28"/>
  <c r="D24" i="28"/>
  <c r="D23" i="28"/>
  <c r="D21" i="28"/>
  <c r="D22" i="28"/>
  <c r="D19" i="28"/>
  <c r="D18" i="28"/>
  <c r="D17" i="28"/>
  <c r="D16" i="28"/>
  <c r="D15" i="28"/>
  <c r="D13" i="28"/>
  <c r="D12" i="28"/>
  <c r="D11" i="28"/>
  <c r="D10" i="28"/>
  <c r="D9" i="28"/>
  <c r="D14" i="28"/>
  <c r="N9" i="28" l="1"/>
  <c r="K26" i="42"/>
  <c r="K28" i="42" s="1"/>
  <c r="N12" i="28" l="1"/>
  <c r="N59" i="28" l="1"/>
  <c r="N43" i="28"/>
  <c r="N62" i="28"/>
  <c r="N46" i="28"/>
  <c r="N65" i="28"/>
  <c r="N49" i="28"/>
  <c r="N68" i="28"/>
  <c r="N52" i="28"/>
  <c r="N44" i="28"/>
  <c r="N55" i="28"/>
  <c r="N39" i="28"/>
  <c r="N58" i="28"/>
  <c r="N42" i="28"/>
  <c r="N61" i="28"/>
  <c r="N45" i="28"/>
  <c r="N64" i="28"/>
  <c r="N48" i="28"/>
  <c r="N63" i="28"/>
  <c r="N51" i="28"/>
  <c r="N70" i="28"/>
  <c r="N54" i="28"/>
  <c r="N38" i="28"/>
  <c r="N57" i="28"/>
  <c r="N41" i="28"/>
  <c r="N60" i="28"/>
  <c r="N47" i="28"/>
  <c r="N66" i="28"/>
  <c r="N50" i="28"/>
  <c r="N69" i="28"/>
  <c r="N53" i="28"/>
  <c r="N37" i="28"/>
  <c r="N56" i="28"/>
  <c r="N40" i="28"/>
  <c r="N36" i="28"/>
  <c r="N73" i="28"/>
  <c r="N72" i="28"/>
  <c r="N71" i="28"/>
  <c r="N31" i="28" l="1"/>
  <c r="N11" i="28"/>
  <c r="N13" i="28"/>
  <c r="N15" i="28"/>
  <c r="N17" i="28"/>
  <c r="N19" i="28"/>
  <c r="N21" i="28"/>
  <c r="N23" i="28"/>
  <c r="N25" i="28"/>
  <c r="N27" i="28"/>
  <c r="N29" i="28"/>
  <c r="N33" i="28"/>
  <c r="N35" i="28"/>
  <c r="N75" i="28"/>
  <c r="N30" i="28"/>
  <c r="N10" i="28"/>
  <c r="N14" i="28"/>
  <c r="N16" i="28"/>
  <c r="N18" i="28"/>
  <c r="N20" i="28"/>
  <c r="N22" i="28"/>
  <c r="N24" i="28"/>
  <c r="N26" i="28"/>
  <c r="N28" i="28"/>
  <c r="N32" i="28"/>
  <c r="N34" i="28"/>
  <c r="N74" i="28"/>
  <c r="N76" i="28"/>
  <c r="N77" i="28" l="1"/>
</calcChain>
</file>

<file path=xl/sharedStrings.xml><?xml version="1.0" encoding="utf-8"?>
<sst xmlns="http://schemas.openxmlformats.org/spreadsheetml/2006/main" count="515" uniqueCount="360">
  <si>
    <t>개 정 이 력</t>
  </si>
  <si>
    <r>
      <rPr>
        <b/>
        <sz val="11"/>
        <color rgb="FFFF0000"/>
        <rFont val="Yoon 윤명조 520_TT"/>
        <family val="1"/>
        <charset val="129"/>
      </rPr>
      <t>※</t>
    </r>
    <r>
      <rPr>
        <b/>
        <sz val="11"/>
        <color rgb="FFFF0000"/>
        <rFont val="맑은 고딕"/>
        <family val="3"/>
        <charset val="129"/>
      </rPr>
      <t xml:space="preserve"> </t>
    </r>
    <r>
      <rPr>
        <b/>
        <sz val="11"/>
        <color rgb="FFFF0000"/>
        <rFont val="맑은 고딕"/>
        <family val="3"/>
        <charset val="129"/>
        <scheme val="major"/>
      </rPr>
      <t>실제 사용시 "개정이력"시트는 삭제 활용</t>
    </r>
    <phoneticPr fontId="28" type="noConversion"/>
  </si>
  <si>
    <t>No</t>
  </si>
  <si>
    <t>버전</t>
  </si>
  <si>
    <t>변경일</t>
  </si>
  <si>
    <t>변경 내용</t>
    <phoneticPr fontId="37" type="noConversion"/>
  </si>
  <si>
    <t>작성자</t>
  </si>
  <si>
    <t>승인자</t>
  </si>
  <si>
    <t>- 최초작성</t>
    <phoneticPr fontId="28" type="noConversion"/>
  </si>
  <si>
    <t>강승표</t>
    <phoneticPr fontId="37" type="noConversion"/>
  </si>
  <si>
    <t>- "첨부2-4.차량유지비청구서"시트 추가
- "첨부2-1.인건비_총괄내역"시트의 소득구분 세분화
  (일용근로/사업소득/기타소득/근로소득) 및 설명추가</t>
    <phoneticPr fontId="28" type="noConversion"/>
  </si>
  <si>
    <r>
      <rPr>
        <sz val="10"/>
        <rFont val="나눔고딕"/>
        <family val="3"/>
        <charset val="129"/>
      </rPr>
      <t>-</t>
    </r>
    <r>
      <rPr>
        <sz val="10"/>
        <rFont val="맑은 고딕"/>
        <family val="3"/>
        <charset val="129"/>
        <scheme val="major"/>
      </rPr>
      <t xml:space="preserve">"첨부2-1.인건비_총괄내역" 中
  </t>
    </r>
    <r>
      <rPr>
        <sz val="10"/>
        <rFont val="맑은 고딕"/>
        <family val="3"/>
        <charset val="129"/>
      </rPr>
      <t xml:space="preserve">• </t>
    </r>
    <r>
      <rPr>
        <sz val="10"/>
        <rFont val="맑은 고딕"/>
        <family val="3"/>
        <charset val="129"/>
        <scheme val="major"/>
      </rPr>
      <t>소득구분 항목에 대하여 데이터 유효성 검사,
    제한대상(목록) 적용
  • 자사부담보험료 항목 추가 (청구액의 10%)
    작업진행(%) 막대그래프로 시각화
'-"첨부1.실행예산정산" 中
  • 공통비-직접입력에 대한 색상강조,
    계정항목에 대해 허용된 값 이외의 값 입력방지</t>
    </r>
    <phoneticPr fontId="28" type="noConversion"/>
  </si>
  <si>
    <t>강승표</t>
    <phoneticPr fontId="28" type="noConversion"/>
  </si>
  <si>
    <t>-"수당지급"시트 신설</t>
    <phoneticPr fontId="28" type="noConversion"/>
  </si>
  <si>
    <t>김영수</t>
    <phoneticPr fontId="28" type="noConversion"/>
  </si>
  <si>
    <t>-첨부1.실행예산상세정산 시트 내 프로젝트 코드 기입란 추가</t>
    <phoneticPr fontId="28" type="noConversion"/>
  </si>
  <si>
    <r>
      <t xml:space="preserve">- "기타 회식" </t>
    </r>
    <r>
      <rPr>
        <sz val="10"/>
        <rFont val="맑은 고딕"/>
        <family val="3"/>
        <charset val="129"/>
      </rPr>
      <t>→</t>
    </r>
    <r>
      <rPr>
        <sz val="10"/>
        <rFont val="맑은 고딕"/>
        <family val="3"/>
        <charset val="129"/>
        <scheme val="major"/>
      </rPr>
      <t xml:space="preserve"> "기타 행사"로 세목명칭 오류정정</t>
    </r>
    <phoneticPr fontId="28" type="noConversion"/>
  </si>
  <si>
    <t>계획,집행기간 변경(2015년→2016년)</t>
    <phoneticPr fontId="28" type="noConversion"/>
  </si>
  <si>
    <t>계획,집행기간 변경(2016년→2017년)
"9.설명자료" 인건비 변경</t>
    <phoneticPr fontId="28" type="noConversion"/>
  </si>
  <si>
    <t>김동기</t>
    <phoneticPr fontId="28" type="noConversion"/>
  </si>
  <si>
    <t>- 경비 항목 세분화
- 공통비 경비 포함
- 경영지원팀 상세정산 삭제</t>
    <phoneticPr fontId="28" type="noConversion"/>
  </si>
  <si>
    <t>이태현</t>
    <phoneticPr fontId="28" type="noConversion"/>
  </si>
  <si>
    <t>프로젝트명</t>
    <phoneticPr fontId="35" type="noConversion"/>
  </si>
  <si>
    <t>AI &amp; Recon Lab</t>
    <phoneticPr fontId="35" type="noConversion"/>
  </si>
  <si>
    <t>프로젝트 코드</t>
    <phoneticPr fontId="28" type="noConversion"/>
  </si>
  <si>
    <t>법인(개인)카드 상세정산</t>
    <phoneticPr fontId="28" type="noConversion"/>
  </si>
  <si>
    <t>프로젝트팀원</t>
    <phoneticPr fontId="35" type="noConversion"/>
  </si>
  <si>
    <t>일자</t>
    <phoneticPr fontId="35" type="noConversion"/>
  </si>
  <si>
    <t>계정no</t>
    <phoneticPr fontId="35" type="noConversion"/>
  </si>
  <si>
    <t>계정</t>
    <phoneticPr fontId="35" type="noConversion"/>
  </si>
  <si>
    <t>사용금액</t>
    <phoneticPr fontId="35" type="noConversion"/>
  </si>
  <si>
    <t>목적</t>
    <phoneticPr fontId="35" type="noConversion"/>
  </si>
  <si>
    <t>참석(대상)자</t>
    <phoneticPr fontId="35" type="noConversion"/>
  </si>
  <si>
    <t>사용자</t>
    <phoneticPr fontId="35" type="noConversion"/>
  </si>
  <si>
    <t>계정NO</t>
    <phoneticPr fontId="35" type="noConversion"/>
  </si>
  <si>
    <t>비목</t>
    <phoneticPr fontId="37" type="noConversion"/>
  </si>
  <si>
    <t>세목</t>
    <phoneticPr fontId="28" type="noConversion"/>
  </si>
  <si>
    <t>적용비목</t>
    <phoneticPr fontId="37" type="noConversion"/>
  </si>
  <si>
    <t>합계</t>
    <phoneticPr fontId="35" type="noConversion"/>
  </si>
  <si>
    <t>복리후생비</t>
    <phoneticPr fontId="28" type="noConversion"/>
  </si>
  <si>
    <t>조식</t>
    <phoneticPr fontId="28" type="noConversion"/>
  </si>
  <si>
    <t>출장 근무에 따른 아침 식대</t>
    <phoneticPr fontId="28" type="noConversion"/>
  </si>
  <si>
    <t>석식</t>
    <phoneticPr fontId="28" type="noConversion"/>
  </si>
  <si>
    <t>야간 근무 시 식대(6,000원*22일)*0.5*M/M</t>
    <phoneticPr fontId="28" type="noConversion"/>
  </si>
  <si>
    <t>휴일</t>
    <phoneticPr fontId="28" type="noConversion"/>
  </si>
  <si>
    <t>휴일 근무에 따른 식대</t>
    <phoneticPr fontId="28" type="noConversion"/>
  </si>
  <si>
    <t>간식</t>
    <phoneticPr fontId="28" type="noConversion"/>
  </si>
  <si>
    <t>국토/해양 현장업무 수행 시 1일당 2천원</t>
    <phoneticPr fontId="28" type="noConversion"/>
  </si>
  <si>
    <t>회식</t>
    <phoneticPr fontId="28" type="noConversion"/>
  </si>
  <si>
    <t>20,000원* M/M</t>
  </si>
  <si>
    <t>접대비</t>
    <phoneticPr fontId="28" type="noConversion"/>
  </si>
  <si>
    <t>경조</t>
    <phoneticPr fontId="28" type="noConversion"/>
  </si>
  <si>
    <t>업무와 관련하여 거래처에 접대, 선물기증 등 접대행위</t>
  </si>
  <si>
    <t>식대</t>
    <phoneticPr fontId="28" type="noConversion"/>
  </si>
  <si>
    <t>선물</t>
    <phoneticPr fontId="28" type="noConversion"/>
  </si>
  <si>
    <t>회의비</t>
    <phoneticPr fontId="28" type="noConversion"/>
  </si>
  <si>
    <t>회의실사용료</t>
    <phoneticPr fontId="28" type="noConversion"/>
  </si>
  <si>
    <t>착수/중간/완료 보고회 및 기타 회의장 사용료</t>
    <phoneticPr fontId="28" type="noConversion"/>
  </si>
  <si>
    <t>회의식대</t>
    <phoneticPr fontId="28" type="noConversion"/>
  </si>
  <si>
    <t>착수/중간/완료 보고회 및 기타 회의 식대</t>
    <phoneticPr fontId="28" type="noConversion"/>
  </si>
  <si>
    <t>회의음료</t>
    <phoneticPr fontId="28" type="noConversion"/>
  </si>
  <si>
    <t>착수/중간/완료 보고회 및 기타 회의 음료</t>
    <phoneticPr fontId="28" type="noConversion"/>
  </si>
  <si>
    <t>물품구매</t>
    <phoneticPr fontId="28" type="noConversion"/>
  </si>
  <si>
    <t>착수/중간/완료 보고회 및 기타 회의 물품구매</t>
    <phoneticPr fontId="28" type="noConversion"/>
  </si>
  <si>
    <t>여비교통비</t>
    <phoneticPr fontId="28" type="noConversion"/>
  </si>
  <si>
    <t>숙박</t>
    <phoneticPr fontId="28" type="noConversion"/>
  </si>
  <si>
    <t>숙박비</t>
    <phoneticPr fontId="28" type="noConversion"/>
  </si>
  <si>
    <t>항공</t>
    <phoneticPr fontId="28" type="noConversion"/>
  </si>
  <si>
    <t>여객선</t>
    <phoneticPr fontId="28" type="noConversion"/>
  </si>
  <si>
    <t>여객선비</t>
    <phoneticPr fontId="28" type="noConversion"/>
  </si>
  <si>
    <t>철도</t>
    <phoneticPr fontId="28" type="noConversion"/>
  </si>
  <si>
    <t>철도비</t>
    <phoneticPr fontId="28" type="noConversion"/>
  </si>
  <si>
    <t>버스</t>
    <phoneticPr fontId="28" type="noConversion"/>
  </si>
  <si>
    <t>버스비</t>
    <phoneticPr fontId="28" type="noConversion"/>
  </si>
  <si>
    <t>택시</t>
    <phoneticPr fontId="28" type="noConversion"/>
  </si>
  <si>
    <t>택시비</t>
    <phoneticPr fontId="28" type="noConversion"/>
  </si>
  <si>
    <t>지하철</t>
    <phoneticPr fontId="28" type="noConversion"/>
  </si>
  <si>
    <t>지하철비</t>
    <phoneticPr fontId="28" type="noConversion"/>
  </si>
  <si>
    <t>자가차량</t>
    <phoneticPr fontId="28" type="noConversion"/>
  </si>
  <si>
    <t>자가차량 유류비(자가차량 운영비 기준에 따름)</t>
    <phoneticPr fontId="28" type="noConversion"/>
  </si>
  <si>
    <t>차량유지비</t>
    <phoneticPr fontId="28" type="noConversion"/>
  </si>
  <si>
    <t>차량주유비</t>
    <phoneticPr fontId="28" type="noConversion"/>
  </si>
  <si>
    <t>자사차량, 렌탈차량 주유비</t>
    <phoneticPr fontId="28" type="noConversion"/>
  </si>
  <si>
    <t>선박주유비</t>
    <phoneticPr fontId="28" type="noConversion"/>
  </si>
  <si>
    <t>자사 및 타사 선박 주유비</t>
    <phoneticPr fontId="28" type="noConversion"/>
  </si>
  <si>
    <t>통행료</t>
    <phoneticPr fontId="28" type="noConversion"/>
  </si>
  <si>
    <t>통행료(하이패스)</t>
    <phoneticPr fontId="28" type="noConversion"/>
  </si>
  <si>
    <t>수리비</t>
    <phoneticPr fontId="28" type="noConversion"/>
  </si>
  <si>
    <t>차량 수리비</t>
    <phoneticPr fontId="28" type="noConversion"/>
  </si>
  <si>
    <t>주차비</t>
    <phoneticPr fontId="28" type="noConversion"/>
  </si>
  <si>
    <t>자가차량, 자사차량, 렌탈차량 주차비</t>
    <phoneticPr fontId="28" type="noConversion"/>
  </si>
  <si>
    <t>차량렌탈료</t>
    <phoneticPr fontId="28" type="noConversion"/>
  </si>
  <si>
    <t>차량렌탈비</t>
    <phoneticPr fontId="28" type="noConversion"/>
  </si>
  <si>
    <t>통신비</t>
    <phoneticPr fontId="28" type="noConversion"/>
  </si>
  <si>
    <t>인터넷</t>
    <phoneticPr fontId="28" type="noConversion"/>
  </si>
  <si>
    <t>외부 사업장 인터넷비</t>
    <phoneticPr fontId="28" type="noConversion"/>
  </si>
  <si>
    <t>전화</t>
    <phoneticPr fontId="28" type="noConversion"/>
  </si>
  <si>
    <t>일반 전화/전용선, 행망전용선(서울시내 : 80만원/월, 경기도 : 150만원/월)</t>
  </si>
  <si>
    <t>우편</t>
    <phoneticPr fontId="28" type="noConversion"/>
  </si>
  <si>
    <t>등기 및 일반우편 등</t>
    <phoneticPr fontId="28" type="noConversion"/>
  </si>
  <si>
    <t>수도광열비</t>
    <phoneticPr fontId="28" type="noConversion"/>
  </si>
  <si>
    <t>전력</t>
    <phoneticPr fontId="28" type="noConversion"/>
  </si>
  <si>
    <t>외부 사업장 전기세</t>
    <phoneticPr fontId="28" type="noConversion"/>
  </si>
  <si>
    <t>가스수도</t>
    <phoneticPr fontId="28" type="noConversion"/>
  </si>
  <si>
    <t>외부 사업장 가스, 수도요금</t>
    <phoneticPr fontId="28" type="noConversion"/>
  </si>
  <si>
    <t>지급임차료</t>
    <phoneticPr fontId="28" type="noConversion"/>
  </si>
  <si>
    <t>사무실임차료</t>
    <phoneticPr fontId="28" type="noConversion"/>
  </si>
  <si>
    <t>외부 사업장 사무실(숙소포함) 임대료</t>
    <phoneticPr fontId="28" type="noConversion"/>
  </si>
  <si>
    <t>선박용선료</t>
    <phoneticPr fontId="28" type="noConversion"/>
  </si>
  <si>
    <t>타사 선박 임대료</t>
    <phoneticPr fontId="28" type="noConversion"/>
  </si>
  <si>
    <t>기타임차료</t>
    <phoneticPr fontId="28" type="noConversion"/>
  </si>
  <si>
    <t>기타 임대료</t>
    <phoneticPr fontId="28" type="noConversion"/>
  </si>
  <si>
    <t>도서인쇄비</t>
    <phoneticPr fontId="28" type="noConversion"/>
  </si>
  <si>
    <t>도서구입</t>
    <phoneticPr fontId="28" type="noConversion"/>
  </si>
  <si>
    <t>도서구매</t>
    <phoneticPr fontId="28" type="noConversion"/>
  </si>
  <si>
    <t>인쇄비</t>
    <phoneticPr fontId="28" type="noConversion"/>
  </si>
  <si>
    <t>인쇄</t>
    <phoneticPr fontId="28" type="noConversion"/>
  </si>
  <si>
    <t>지급수수료</t>
    <phoneticPr fontId="28" type="noConversion"/>
  </si>
  <si>
    <t>사무실관리비</t>
    <phoneticPr fontId="28" type="noConversion"/>
  </si>
  <si>
    <t>외부 사업장(숙소포함) 관리비</t>
    <phoneticPr fontId="28" type="noConversion"/>
  </si>
  <si>
    <t>성과심사비</t>
    <phoneticPr fontId="28" type="noConversion"/>
  </si>
  <si>
    <t>공공측량 및 수로조사 등 성과심사비</t>
    <phoneticPr fontId="28" type="noConversion"/>
  </si>
  <si>
    <t>보안경비</t>
    <phoneticPr fontId="28" type="noConversion"/>
  </si>
  <si>
    <t>세콤, 텔레캅 등 보안경비</t>
    <phoneticPr fontId="28" type="noConversion"/>
  </si>
  <si>
    <t>기타수수료</t>
    <phoneticPr fontId="28" type="noConversion"/>
  </si>
  <si>
    <t>청소비 등 기타 지급 수수료</t>
    <phoneticPr fontId="28" type="noConversion"/>
  </si>
  <si>
    <t>장비임차료</t>
    <phoneticPr fontId="28" type="noConversion"/>
  </si>
  <si>
    <t>컴퓨터</t>
    <phoneticPr fontId="28" type="noConversion"/>
  </si>
  <si>
    <t>노트북, 데스트탑, 서버, 모니터 등 장비 임차</t>
    <phoneticPr fontId="28" type="noConversion"/>
  </si>
  <si>
    <t>복합기</t>
    <phoneticPr fontId="28" type="noConversion"/>
  </si>
  <si>
    <t>팩스, 프린터 등 장비 임차</t>
    <phoneticPr fontId="28" type="noConversion"/>
  </si>
  <si>
    <t>사무용가구</t>
    <phoneticPr fontId="28" type="noConversion"/>
  </si>
  <si>
    <t>책상, 의자, 파티션 등 장비 임차</t>
    <phoneticPr fontId="28" type="noConversion"/>
  </si>
  <si>
    <t>선박(외부)</t>
    <phoneticPr fontId="28" type="noConversion"/>
  </si>
  <si>
    <t>외부업체 선박 임차</t>
    <phoneticPr fontId="28" type="noConversion"/>
  </si>
  <si>
    <t>측량장비(외부)</t>
    <phoneticPr fontId="28" type="noConversion"/>
  </si>
  <si>
    <t>외부업체 측량장비 임차</t>
    <phoneticPr fontId="28" type="noConversion"/>
  </si>
  <si>
    <t>운영비</t>
    <phoneticPr fontId="28" type="noConversion"/>
  </si>
  <si>
    <t>수선비</t>
    <phoneticPr fontId="28" type="noConversion"/>
  </si>
  <si>
    <t>사무실(숙소포함) 인테리어(구축/철거), 집기랜탈</t>
    <phoneticPr fontId="28" type="noConversion"/>
  </si>
  <si>
    <t>발송비</t>
    <phoneticPr fontId="28" type="noConversion"/>
  </si>
  <si>
    <t>퀵, 택배, 용달</t>
    <phoneticPr fontId="28" type="noConversion"/>
  </si>
  <si>
    <t>사무용품비</t>
    <phoneticPr fontId="28" type="noConversion"/>
  </si>
  <si>
    <t>사무용품 외장하드 등</t>
    <phoneticPr fontId="28" type="noConversion"/>
  </si>
  <si>
    <t>잡비</t>
    <phoneticPr fontId="28" type="noConversion"/>
  </si>
  <si>
    <t>숙소물품 등</t>
    <phoneticPr fontId="28" type="noConversion"/>
  </si>
  <si>
    <t>비통제/기타</t>
    <phoneticPr fontId="28" type="noConversion"/>
  </si>
  <si>
    <t>제안비용</t>
    <phoneticPr fontId="28" type="noConversion"/>
  </si>
  <si>
    <t>제안비용(GD, 제안서 출력비용)</t>
    <phoneticPr fontId="28" type="noConversion"/>
  </si>
  <si>
    <t>세금과공과금</t>
    <phoneticPr fontId="28" type="noConversion"/>
  </si>
  <si>
    <t>인지세, 지역개발공채매도수수료(경영지원팀 문의)</t>
  </si>
  <si>
    <t>보험료</t>
    <phoneticPr fontId="28" type="noConversion"/>
  </si>
  <si>
    <t>계약이행, 선금보증, 하자보증 보험료</t>
  </si>
  <si>
    <t>보증금(이자비용)</t>
    <phoneticPr fontId="28" type="noConversion"/>
  </si>
  <si>
    <t>사무실(숙소포함) 임대보증금 이자비용(비용 산정은 8.설명자료 참조)</t>
  </si>
  <si>
    <t>자사 사용료</t>
    <phoneticPr fontId="28" type="noConversion"/>
  </si>
  <si>
    <t>선박</t>
    <phoneticPr fontId="28" type="noConversion"/>
  </si>
  <si>
    <t>자사 선박 사용료(경영지원팀 문의)</t>
    <phoneticPr fontId="28" type="noConversion"/>
  </si>
  <si>
    <t>측량장비</t>
    <phoneticPr fontId="28" type="noConversion"/>
  </si>
  <si>
    <t>자사 측량장비 사용료(경영지원팀 문의)</t>
    <phoneticPr fontId="28" type="noConversion"/>
  </si>
  <si>
    <t>차량</t>
    <phoneticPr fontId="28" type="noConversion"/>
  </si>
  <si>
    <t>자사 차량 사용료(경영지원팀 문의)</t>
    <phoneticPr fontId="28" type="noConversion"/>
  </si>
  <si>
    <t>사무실 임대</t>
    <phoneticPr fontId="28" type="noConversion"/>
  </si>
  <si>
    <t>가산동 사무실 사용료(경영지원팀 문의)</t>
    <phoneticPr fontId="28" type="noConversion"/>
  </si>
  <si>
    <t>S/W</t>
    <phoneticPr fontId="28" type="noConversion"/>
  </si>
  <si>
    <t>자사 SW 사용료(경영지원팀 문의)</t>
    <phoneticPr fontId="28" type="noConversion"/>
  </si>
  <si>
    <t>수당</t>
    <phoneticPr fontId="28" type="noConversion"/>
  </si>
  <si>
    <t>야근/휴일수당</t>
    <phoneticPr fontId="28" type="noConversion"/>
  </si>
  <si>
    <t>미시행</t>
  </si>
  <si>
    <t>파견수당</t>
    <phoneticPr fontId="28" type="noConversion"/>
  </si>
  <si>
    <t>장기파견 시 지급되는 수당</t>
  </si>
  <si>
    <t>현장/안전수당</t>
    <phoneticPr fontId="28" type="noConversion"/>
  </si>
  <si>
    <t>현장수당 일비 2만8천원, 안전수당 일비 3만원</t>
  </si>
  <si>
    <t>PM수당</t>
    <phoneticPr fontId="28" type="noConversion"/>
  </si>
  <si>
    <t>등급별금액은 8.설명자료 참조</t>
  </si>
  <si>
    <t>외주비</t>
    <phoneticPr fontId="28" type="noConversion"/>
  </si>
  <si>
    <t>계약직</t>
  </si>
  <si>
    <t>계약직 채용의 경우</t>
    <phoneticPr fontId="28" type="noConversion"/>
  </si>
  <si>
    <t>하도급</t>
  </si>
  <si>
    <t>업체간 용역계약체결의 경우, (단, 단순인력파견의 경우 "인력"에 해당)</t>
    <phoneticPr fontId="28" type="noConversion"/>
  </si>
  <si>
    <t>재료비</t>
  </si>
  <si>
    <t>HW, SW 등 제품 및 솔루션 구매</t>
    <phoneticPr fontId="28" type="noConversion"/>
  </si>
  <si>
    <t>외주비 공통비</t>
    <phoneticPr fontId="28" type="noConversion"/>
  </si>
  <si>
    <t>계약직 공통비</t>
    <phoneticPr fontId="28" type="noConversion"/>
  </si>
  <si>
    <t>하도급 공통비</t>
    <phoneticPr fontId="28" type="noConversion"/>
  </si>
  <si>
    <t>재료비 공통비</t>
    <phoneticPr fontId="28" type="noConversion"/>
  </si>
  <si>
    <t>합계</t>
    <phoneticPr fontId="28" type="noConversion"/>
  </si>
  <si>
    <t>이 아래로는 작성하지 마세요. 부족시 위에서 삽입하여 작성하세요</t>
    <phoneticPr fontId="35" type="noConversion"/>
  </si>
  <si>
    <t>【별지서식 제1호】 차량유류비 청구서</t>
    <phoneticPr fontId="35" type="noConversion"/>
  </si>
  <si>
    <t>성명 :</t>
    <phoneticPr fontId="35" type="noConversion"/>
  </si>
  <si>
    <t xml:space="preserve">차량 No. 24소6553 </t>
    <phoneticPr fontId="35" type="noConversion"/>
  </si>
  <si>
    <t>월일</t>
    <phoneticPr fontId="35" type="noConversion"/>
  </si>
  <si>
    <t>방문처</t>
  </si>
  <si>
    <t>방문목적</t>
  </si>
  <si>
    <t>출발지</t>
  </si>
  <si>
    <t>도착지</t>
  </si>
  <si>
    <t>운행거리</t>
  </si>
  <si>
    <t>차종</t>
  </si>
  <si>
    <t>연비
(리터당)</t>
    <phoneticPr fontId="35" type="noConversion"/>
  </si>
  <si>
    <t>단가</t>
  </si>
  <si>
    <t>유류비</t>
  </si>
  <si>
    <t>소계</t>
    <phoneticPr fontId="35" type="noConversion"/>
  </si>
  <si>
    <t>합계</t>
  </si>
  <si>
    <t>1. 연비(리터당) 환산 : 자가차량 운영비 청구규정 6page 참조(동일 연비 참조)
2. 단가 환산 : 한국석유공사 http://www.knoc.co.kr/에서 제시하는 유종별 단가를 적용하고
   차량의 감가비용을 감안한 100원을 더하여 산정한다. 
   예) 유가 휘발유 1,780 + 100 = 1,880</t>
    <phoneticPr fontId="35" type="noConversion"/>
  </si>
  <si>
    <t>8. 설명자료</t>
    <phoneticPr fontId="77" type="noConversion"/>
  </si>
  <si>
    <t>직급</t>
    <phoneticPr fontId="28" type="noConversion"/>
  </si>
  <si>
    <t>월평균단가</t>
    <phoneticPr fontId="28" type="noConversion"/>
  </si>
  <si>
    <t>비고</t>
    <phoneticPr fontId="28" type="noConversion"/>
  </si>
  <si>
    <t>보험료 구분</t>
    <phoneticPr fontId="28" type="noConversion"/>
  </si>
  <si>
    <t>연이율</t>
    <phoneticPr fontId="28" type="noConversion"/>
  </si>
  <si>
    <t>산정공식</t>
    <phoneticPr fontId="28" type="noConversion"/>
  </si>
  <si>
    <t>임원</t>
    <phoneticPr fontId="28" type="noConversion"/>
  </si>
  <si>
    <t>계약이행보증증권</t>
    <phoneticPr fontId="28" type="noConversion"/>
  </si>
  <si>
    <t>(소프트웨어공제조합)</t>
    <phoneticPr fontId="28" type="noConversion"/>
  </si>
  <si>
    <t xml:space="preserve">계약보증금액(통상 계약금액의 15%) * 연이율 * 계약기간(사업일수/365) </t>
    <phoneticPr fontId="28" type="noConversion"/>
  </si>
  <si>
    <t>부장</t>
    <phoneticPr fontId="28" type="noConversion"/>
  </si>
  <si>
    <t>인지세</t>
    <phoneticPr fontId="28" type="noConversion"/>
  </si>
  <si>
    <t>1천만원 이하 :</t>
    <phoneticPr fontId="28" type="noConversion"/>
  </si>
  <si>
    <t>면제</t>
    <phoneticPr fontId="28" type="noConversion"/>
  </si>
  <si>
    <t>1천만원~3천만원 :</t>
    <phoneticPr fontId="28" type="noConversion"/>
  </si>
  <si>
    <t>2만원</t>
    <phoneticPr fontId="28" type="noConversion"/>
  </si>
  <si>
    <t>3천만원~5천만원 :</t>
    <phoneticPr fontId="28" type="noConversion"/>
  </si>
  <si>
    <t>4만원</t>
    <phoneticPr fontId="28" type="noConversion"/>
  </si>
  <si>
    <t>차장</t>
    <phoneticPr fontId="28" type="noConversion"/>
  </si>
  <si>
    <t>(자사지분기준)</t>
    <phoneticPr fontId="28" type="noConversion"/>
  </si>
  <si>
    <t>5천만원~1억원 :</t>
    <phoneticPr fontId="28" type="noConversion"/>
  </si>
  <si>
    <t>7만원</t>
    <phoneticPr fontId="28" type="noConversion"/>
  </si>
  <si>
    <t xml:space="preserve">1억원 초과 : </t>
    <phoneticPr fontId="28" type="noConversion"/>
  </si>
  <si>
    <t>15만원</t>
    <phoneticPr fontId="28" type="noConversion"/>
  </si>
  <si>
    <t>10억원 초과 :</t>
    <phoneticPr fontId="28" type="noConversion"/>
  </si>
  <si>
    <t>35만원</t>
    <phoneticPr fontId="28" type="noConversion"/>
  </si>
  <si>
    <t>과장</t>
    <phoneticPr fontId="28" type="noConversion"/>
  </si>
  <si>
    <t>선금보증증권</t>
    <phoneticPr fontId="28" type="noConversion"/>
  </si>
  <si>
    <t>(서울보증보험)</t>
    <phoneticPr fontId="28" type="noConversion"/>
  </si>
  <si>
    <t>선금요청금액 * 연이율 * ((잔여 사업기간+60)/365)</t>
    <phoneticPr fontId="28" type="noConversion"/>
  </si>
  <si>
    <t>대리</t>
    <phoneticPr fontId="28" type="noConversion"/>
  </si>
  <si>
    <t>하자보증증권</t>
    <phoneticPr fontId="28" type="noConversion"/>
  </si>
  <si>
    <t>하자보증금액(통상 계약금액의 2%) * 연이율 * 하자보수기간(통상 365일)</t>
    <phoneticPr fontId="28" type="noConversion"/>
  </si>
  <si>
    <t>사원</t>
    <phoneticPr fontId="28" type="noConversion"/>
  </si>
  <si>
    <t>지역개발공채</t>
    <phoneticPr fontId="28" type="noConversion"/>
  </si>
  <si>
    <t>지방자치단체 사업 대금청구시 (계약금액 * 2.5% * 즉시매도율(일단위 변동, 통상 12% 내외)</t>
    <phoneticPr fontId="28" type="noConversion"/>
  </si>
  <si>
    <t>수행역활</t>
    <phoneticPr fontId="28" type="noConversion"/>
  </si>
  <si>
    <t>설명</t>
    <phoneticPr fontId="28" type="noConversion"/>
  </si>
  <si>
    <t>PM</t>
    <phoneticPr fontId="28" type="noConversion"/>
  </si>
  <si>
    <t>(Project Manager) 프로젝트 관리자</t>
    <phoneticPr fontId="28" type="noConversion"/>
  </si>
  <si>
    <t>사업관리</t>
    <phoneticPr fontId="28" type="noConversion"/>
  </si>
  <si>
    <t>품질관리</t>
    <phoneticPr fontId="28" type="noConversion"/>
  </si>
  <si>
    <t>PL</t>
    <phoneticPr fontId="28" type="noConversion"/>
  </si>
  <si>
    <t>Project Leader</t>
    <phoneticPr fontId="28" type="noConversion"/>
  </si>
  <si>
    <t>SW 개발</t>
    <phoneticPr fontId="28" type="noConversion"/>
  </si>
  <si>
    <t>SW 개발인력</t>
    <phoneticPr fontId="35" type="noConversion"/>
  </si>
  <si>
    <t>육상 DB</t>
    <phoneticPr fontId="28" type="noConversion"/>
  </si>
  <si>
    <t>육상 DB인력</t>
    <phoneticPr fontId="35" type="noConversion"/>
  </si>
  <si>
    <t>해양 DB</t>
    <phoneticPr fontId="28" type="noConversion"/>
  </si>
  <si>
    <t>해양 DB인력</t>
    <phoneticPr fontId="35" type="noConversion"/>
  </si>
  <si>
    <t>BA</t>
    <phoneticPr fontId="28" type="noConversion"/>
  </si>
  <si>
    <t>사업기획</t>
    <phoneticPr fontId="28" type="noConversion"/>
  </si>
  <si>
    <t>QA</t>
    <phoneticPr fontId="28" type="noConversion"/>
  </si>
  <si>
    <t>전사품질관리</t>
    <phoneticPr fontId="28" type="noConversion"/>
  </si>
  <si>
    <t xml:space="preserve"> 디자인, 웹기획, 퍼블리셔</t>
    <phoneticPr fontId="28" type="noConversion"/>
  </si>
  <si>
    <t>그래픽 디자인, 웹기획, 퍼블리셔</t>
    <phoneticPr fontId="28" type="noConversion"/>
  </si>
  <si>
    <t>제안</t>
    <phoneticPr fontId="28" type="noConversion"/>
  </si>
  <si>
    <t>제안투입 인력</t>
    <phoneticPr fontId="28" type="noConversion"/>
  </si>
  <si>
    <t>항목</t>
    <phoneticPr fontId="28" type="noConversion"/>
  </si>
  <si>
    <t>비목</t>
    <phoneticPr fontId="28" type="noConversion"/>
  </si>
  <si>
    <t>내용</t>
    <phoneticPr fontId="35" type="noConversion"/>
  </si>
  <si>
    <t>인건비</t>
    <phoneticPr fontId="35" type="noConversion"/>
  </si>
  <si>
    <t>인건비</t>
    <phoneticPr fontId="28" type="noConversion"/>
  </si>
  <si>
    <t>자사 투입인력 인건비</t>
    <phoneticPr fontId="35" type="noConversion"/>
  </si>
  <si>
    <t>요식성 경비</t>
    <phoneticPr fontId="28" type="noConversion"/>
  </si>
  <si>
    <t>출장 근무에 따른 아침 식대</t>
    <phoneticPr fontId="35" type="noConversion"/>
  </si>
  <si>
    <t>야간 근무 시 식대</t>
    <phoneticPr fontId="35" type="noConversion"/>
  </si>
  <si>
    <t>휴일 근무 시 식대</t>
    <phoneticPr fontId="35" type="noConversion"/>
  </si>
  <si>
    <t>국토/해양 현장업무 수행 시 1일당 2천원</t>
    <phoneticPr fontId="35" type="noConversion"/>
  </si>
  <si>
    <t>20,000원* M/M</t>
    <phoneticPr fontId="35" type="noConversion"/>
  </si>
  <si>
    <t>착수/중간/완료 보고회 및 기타 회의장 사용료</t>
  </si>
  <si>
    <t>착수/중간/완료 보고회 및 기타 회의 식대</t>
  </si>
  <si>
    <t>착수/중간/완료 보고회 및 기타 회의 음료</t>
  </si>
  <si>
    <t>착수/중간/완료 보고회 및 기타 회의 물품구매</t>
  </si>
  <si>
    <t>교통비</t>
    <phoneticPr fontId="28" type="noConversion"/>
  </si>
  <si>
    <t>운영유지비</t>
    <phoneticPr fontId="28" type="noConversion"/>
  </si>
  <si>
    <t>외부 사업장 구성 시</t>
  </si>
  <si>
    <t>외부업체 이용 시</t>
  </si>
  <si>
    <t>공기청정기, 정수기, 비데</t>
    <phoneticPr fontId="28" type="noConversion"/>
  </si>
  <si>
    <t>노트북, 데스트탑, 서버, 모니터</t>
    <phoneticPr fontId="28" type="noConversion"/>
  </si>
  <si>
    <t>외부업체 장비 입차 시</t>
  </si>
  <si>
    <t>비품수리, 사무실인테리어(구축/철거) 등</t>
    <phoneticPr fontId="35" type="noConversion"/>
  </si>
  <si>
    <t>퀵, 용달</t>
    <phoneticPr fontId="35" type="noConversion"/>
  </si>
  <si>
    <t>사무용품, 외장하드 등</t>
    <phoneticPr fontId="28" type="noConversion"/>
  </si>
  <si>
    <t>청소비, 숙소물품 등</t>
    <phoneticPr fontId="35" type="noConversion"/>
  </si>
  <si>
    <t>비통제
/기타</t>
    <phoneticPr fontId="28" type="noConversion"/>
  </si>
  <si>
    <t>제안비용(제안 인력 : 품질관리팀 문의, GD, 제안서 출력비용 포함)</t>
    <phoneticPr fontId="35" type="noConversion"/>
  </si>
  <si>
    <t>인지세, 지역개발공채매도수수료</t>
    <phoneticPr fontId="35" type="noConversion"/>
  </si>
  <si>
    <t>계약이행, 선금보증, 하자보증 보험료</t>
    <phoneticPr fontId="35" type="noConversion"/>
  </si>
  <si>
    <t>보증금 X (계약월수/12개월 X 5%)</t>
    <phoneticPr fontId="35" type="noConversion"/>
  </si>
  <si>
    <t>자사 선박 사용 시</t>
    <phoneticPr fontId="35" type="noConversion"/>
  </si>
  <si>
    <t>자사 측량장비 사용 시</t>
    <phoneticPr fontId="35" type="noConversion"/>
  </si>
  <si>
    <t>자사 차량 사용 시</t>
    <phoneticPr fontId="35" type="noConversion"/>
  </si>
  <si>
    <t>자사 사무실 사용 시</t>
    <phoneticPr fontId="35" type="noConversion"/>
  </si>
  <si>
    <t>자사  SW 사용 시</t>
    <phoneticPr fontId="35" type="noConversion"/>
  </si>
  <si>
    <t>미시행</t>
    <phoneticPr fontId="35" type="noConversion"/>
  </si>
  <si>
    <t>장기파견 시 지급되는 수당</t>
    <phoneticPr fontId="28" type="noConversion"/>
  </si>
  <si>
    <t>등급별금액(S_20만원,A_15만원,B_10만원,C_5만원,D_없음)*수행기간</t>
    <phoneticPr fontId="35" type="noConversion"/>
  </si>
  <si>
    <t>외주비</t>
    <phoneticPr fontId="35" type="noConversion"/>
  </si>
  <si>
    <t>계약직</t>
    <phoneticPr fontId="28" type="noConversion"/>
  </si>
  <si>
    <t>인력</t>
    <phoneticPr fontId="35" type="noConversion"/>
  </si>
  <si>
    <t>계약직 채용의 경우</t>
    <phoneticPr fontId="35" type="noConversion"/>
  </si>
  <si>
    <t>하도급</t>
    <phoneticPr fontId="28" type="noConversion"/>
  </si>
  <si>
    <t>업체</t>
    <phoneticPr fontId="35" type="noConversion"/>
  </si>
  <si>
    <t>업체간 용역계약체결의 경우, (단, 단순인력파견의 경우 "인력"에 해당)</t>
    <phoneticPr fontId="35" type="noConversion"/>
  </si>
  <si>
    <t>재료비</t>
    <phoneticPr fontId="28" type="noConversion"/>
  </si>
  <si>
    <t>납품용 HW, SW, 외장하드 등 제품 및 솔루션 구매</t>
    <phoneticPr fontId="35" type="noConversion"/>
  </si>
  <si>
    <t>* PM수당 기준</t>
    <phoneticPr fontId="28" type="noConversion"/>
  </si>
  <si>
    <t>등급</t>
    <phoneticPr fontId="37" type="noConversion"/>
  </si>
  <si>
    <t>PM수당</t>
    <phoneticPr fontId="37" type="noConversion"/>
  </si>
  <si>
    <t>주관사일 경우(단독포함)</t>
    <phoneticPr fontId="28" type="noConversion"/>
  </si>
  <si>
    <t>참여사일 경우</t>
    <phoneticPr fontId="28" type="noConversion"/>
  </si>
  <si>
    <t>낙찰금액 기준</t>
    <phoneticPr fontId="28" type="noConversion"/>
  </si>
  <si>
    <t>당사 지분금액 기준</t>
    <phoneticPr fontId="28" type="noConversion"/>
  </si>
  <si>
    <t>S</t>
    <phoneticPr fontId="37" type="noConversion"/>
  </si>
  <si>
    <t>20만원</t>
    <phoneticPr fontId="28" type="noConversion"/>
  </si>
  <si>
    <t>20억원 이상</t>
    <phoneticPr fontId="28" type="noConversion"/>
  </si>
  <si>
    <t>A</t>
    <phoneticPr fontId="37" type="noConversion"/>
  </si>
  <si>
    <t>15만원</t>
    <phoneticPr fontId="37" type="noConversion"/>
  </si>
  <si>
    <t>10억원 이상 ~ 20억원 미만</t>
    <phoneticPr fontId="28" type="noConversion"/>
  </si>
  <si>
    <t>B</t>
    <phoneticPr fontId="37" type="noConversion"/>
  </si>
  <si>
    <t>10만원</t>
    <phoneticPr fontId="37" type="noConversion"/>
  </si>
  <si>
    <t>2억원 이상 ~ 10억원 미만</t>
    <phoneticPr fontId="28" type="noConversion"/>
  </si>
  <si>
    <t>C</t>
    <phoneticPr fontId="37" type="noConversion"/>
  </si>
  <si>
    <t>5만원</t>
    <phoneticPr fontId="37" type="noConversion"/>
  </si>
  <si>
    <t>0.5억원 이상 ~ 2억원 미만</t>
    <phoneticPr fontId="28" type="noConversion"/>
  </si>
  <si>
    <t>D</t>
    <phoneticPr fontId="37" type="noConversion"/>
  </si>
  <si>
    <t>없음</t>
    <phoneticPr fontId="37" type="noConversion"/>
  </si>
  <si>
    <t>0.5억원 미만</t>
    <phoneticPr fontId="28" type="noConversion"/>
  </si>
  <si>
    <t>정시내</t>
  </si>
  <si>
    <t>정시내(개인)</t>
  </si>
  <si>
    <t>최정규, 용다윗, 황도희, 최현영, 신수아, 정시내</t>
    <phoneticPr fontId="28" type="noConversion"/>
  </si>
  <si>
    <t>회의식대(중식)</t>
    <phoneticPr fontId="28" type="noConversion"/>
  </si>
  <si>
    <t>2026년 3월분 법인(개인) 카드 정산서</t>
    <phoneticPr fontId="35" type="noConversion"/>
  </si>
  <si>
    <t>2026.04.02</t>
    <phoneticPr fontId="28" type="noConversion"/>
  </si>
  <si>
    <t>2026.04.06</t>
    <phoneticPr fontId="28" type="noConversion"/>
  </si>
  <si>
    <t>2026.04.08</t>
    <phoneticPr fontId="28" type="noConversion"/>
  </si>
  <si>
    <t>2026.04.09</t>
    <phoneticPr fontId="28" type="noConversion"/>
  </si>
  <si>
    <t>2026.04.10</t>
    <phoneticPr fontId="28" type="noConversion"/>
  </si>
  <si>
    <t>2026.04.14</t>
    <phoneticPr fontId="28" type="noConversion"/>
  </si>
  <si>
    <t>2026.04.13</t>
    <phoneticPr fontId="28" type="noConversion"/>
  </si>
  <si>
    <t>CLAUDE 정기결제비용</t>
    <phoneticPr fontId="28" type="noConversion"/>
  </si>
  <si>
    <t>2026.04.15</t>
    <phoneticPr fontId="28" type="noConversion"/>
  </si>
  <si>
    <t>2026.04.17</t>
    <phoneticPr fontId="28" type="noConversion"/>
  </si>
  <si>
    <t>2026.04.20</t>
    <phoneticPr fontId="28" type="noConversion"/>
  </si>
  <si>
    <t>CHATGPT 정기결제비용</t>
    <phoneticPr fontId="28" type="noConversion"/>
  </si>
  <si>
    <t>2026.04.22</t>
    <phoneticPr fontId="28" type="noConversion"/>
  </si>
  <si>
    <t>2026.04.23</t>
    <phoneticPr fontId="28" type="noConversion"/>
  </si>
  <si>
    <t>2026.04.27</t>
    <phoneticPr fontId="28" type="noConversion"/>
  </si>
  <si>
    <t>사무용품</t>
    <phoneticPr fontId="28" type="noConversion"/>
  </si>
  <si>
    <t>한국소프트웨어</t>
    <phoneticPr fontId="28" type="noConversion"/>
  </si>
  <si>
    <t>2026.04.28</t>
    <phoneticPr fontId="28" type="noConversion"/>
  </si>
  <si>
    <t>2026.04.29</t>
    <phoneticPr fontId="28" type="noConversion"/>
  </si>
  <si>
    <t>2026.04.18</t>
    <phoneticPr fontId="28" type="noConversion"/>
  </si>
  <si>
    <t>2026.04.21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</si>
</sst>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5" formatCode="&quot;₩&quot;#,##0;\-&quot;₩&quot;#,##0"/>
    <numFmt numFmtId="41" formatCode="_-* #,##0_-;\-* #,##0_-;_-* &quot;-&quot;_-;_-@_-"/>
    <numFmt numFmtId="176" formatCode="&quot;₩&quot;#,##0"/>
    <numFmt numFmtId="177" formatCode="0.00000"/>
    <numFmt numFmtId="178" formatCode="&quot;₩&quot;#,##0.00;&quot;₩&quot;\-#,##0.00"/>
    <numFmt numFmtId="179" formatCode="0.00000%"/>
    <numFmt numFmtId="180" formatCode="&quot;₩&quot;#,##0;[Red]&quot;₩&quot;\-#,##0"/>
    <numFmt numFmtId="181" formatCode="&quot;₩&quot;#,##0;&quot;₩&quot;\-#,##0"/>
    <numFmt numFmtId="182" formatCode="#,##0_ ;[Red]\-#,##0\ "/>
    <numFmt numFmtId="183" formatCode="0.000%"/>
    <numFmt numFmtId="184" formatCode="0.00_ "/>
    <numFmt numFmtId="185" formatCode="m&quot;월&quot;\ d&quot;일&quot;;@"/>
    <numFmt numFmtId="186" formatCode="0_ "/>
    <numFmt numFmtId="187" formatCode="0.0_ "/>
    <numFmt numFmtId="188" formatCode="#,##0_);[Red]\(#,##0\)"/>
    <numFmt numFmtId="189" formatCode="mm&quot;월&quot;\ dd&quot;일&quot;"/>
  </numFmts>
  <fonts count="89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8"/>
      <name val="돋움"/>
      <family val="3"/>
      <charset val="129"/>
    </font>
    <font>
      <sz val="10"/>
      <name val="Helv"/>
      <family val="2"/>
    </font>
    <font>
      <sz val="12"/>
      <name val="Times New Roman"/>
      <family val="1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12"/>
      <name val="¹UAAA¼"/>
      <family val="3"/>
      <charset val="129"/>
    </font>
    <font>
      <sz val="12"/>
      <name val="System"/>
      <family val="2"/>
      <charset val="129"/>
    </font>
    <font>
      <sz val="1"/>
      <color indexed="8"/>
      <name val="Courier"/>
      <family val="3"/>
    </font>
    <font>
      <sz val="10"/>
      <name val="Arial"/>
      <family val="2"/>
    </font>
    <font>
      <sz val="10"/>
      <name val="굴림체"/>
      <family val="3"/>
      <charset val="129"/>
    </font>
    <font>
      <sz val="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1"/>
      <name val="Helv"/>
      <family val="2"/>
    </font>
    <font>
      <sz val="14"/>
      <name val="뼻뮝"/>
      <family val="3"/>
      <charset val="129"/>
    </font>
    <font>
      <sz val="12"/>
      <name val="바탕체"/>
      <family val="1"/>
      <charset val="129"/>
    </font>
    <font>
      <sz val="12"/>
      <name val="뼻뮝"/>
      <family val="1"/>
      <charset val="129"/>
    </font>
    <font>
      <b/>
      <sz val="11"/>
      <color rgb="FFFA7D0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8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6"/>
      <color indexed="8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0"/>
      <name val="나눔고딕"/>
      <family val="3"/>
      <charset val="129"/>
    </font>
    <font>
      <sz val="11"/>
      <color theme="1"/>
      <name val="맑은 고딕"/>
      <family val="3"/>
      <charset val="129"/>
      <scheme val="major"/>
    </font>
    <font>
      <b/>
      <u/>
      <sz val="14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b/>
      <sz val="11"/>
      <color rgb="FFFF0000"/>
      <name val="Yoon 윤명조 520_TT"/>
      <family val="1"/>
      <charset val="129"/>
    </font>
    <font>
      <b/>
      <sz val="11"/>
      <color rgb="FFFF0000"/>
      <name val="맑은 고딕"/>
      <family val="3"/>
      <charset val="129"/>
    </font>
    <font>
      <sz val="10"/>
      <name val="맑은 고딕"/>
      <family val="3"/>
      <charset val="129"/>
    </font>
    <font>
      <b/>
      <sz val="15"/>
      <color indexed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u/>
      <sz val="18"/>
      <color indexed="8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sz val="9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b/>
      <sz val="20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theme="0" tint="-4.9989318521683403E-2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32">
    <xf numFmtId="0" fontId="0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24" fillId="0" borderId="0">
      <alignment vertical="center"/>
    </xf>
    <xf numFmtId="0" fontId="38" fillId="0" borderId="0"/>
    <xf numFmtId="0" fontId="38" fillId="0" borderId="0"/>
    <xf numFmtId="0" fontId="39" fillId="0" borderId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/>
    <xf numFmtId="0" fontId="42" fillId="0" borderId="0"/>
    <xf numFmtId="4" fontId="44" fillId="0" borderId="0">
      <protection locked="0"/>
    </xf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3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177" fontId="33" fillId="0" borderId="0">
      <protection locked="0"/>
    </xf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178" fontId="33" fillId="0" borderId="0" applyFont="0" applyFill="0" applyBorder="0" applyAlignment="0" applyProtection="0"/>
    <xf numFmtId="178" fontId="33" fillId="0" borderId="0">
      <protection locked="0"/>
    </xf>
    <xf numFmtId="179" fontId="33" fillId="0" borderId="0">
      <protection locked="0"/>
    </xf>
    <xf numFmtId="38" fontId="47" fillId="2" borderId="0" applyNumberFormat="0" applyBorder="0" applyAlignment="0" applyProtection="0"/>
    <xf numFmtId="0" fontId="48" fillId="0" borderId="25" applyNumberFormat="0" applyAlignment="0" applyProtection="0">
      <alignment horizontal="left" vertical="center"/>
    </xf>
    <xf numFmtId="0" fontId="48" fillId="0" borderId="17">
      <alignment horizontal="left" vertical="center"/>
    </xf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180" fontId="33" fillId="0" borderId="0">
      <protection locked="0"/>
    </xf>
    <xf numFmtId="180" fontId="33" fillId="0" borderId="0">
      <protection locked="0"/>
    </xf>
    <xf numFmtId="10" fontId="47" fillId="6" borderId="1" applyNumberFormat="0" applyBorder="0" applyAlignment="0" applyProtection="0"/>
    <xf numFmtId="0" fontId="38" fillId="0" borderId="0"/>
    <xf numFmtId="0" fontId="45" fillId="0" borderId="0"/>
    <xf numFmtId="181" fontId="33" fillId="0" borderId="0">
      <protection locked="0"/>
    </xf>
    <xf numFmtId="10" fontId="45" fillId="0" borderId="0" applyFont="0" applyFill="0" applyBorder="0" applyAlignment="0" applyProtection="0"/>
    <xf numFmtId="0" fontId="50" fillId="0" borderId="0"/>
    <xf numFmtId="180" fontId="33" fillId="0" borderId="29">
      <protection locked="0"/>
    </xf>
    <xf numFmtId="40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53" fillId="0" borderId="0"/>
    <xf numFmtId="41" fontId="52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5" fontId="33" fillId="0" borderId="0" applyBorder="0"/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54" fillId="7" borderId="33" applyNumberForma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45" fillId="0" borderId="0" applyNumberFormat="0" applyFont="0" applyFill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2" fillId="0" borderId="0" applyFont="0" applyFill="0" applyBorder="0" applyAlignment="0" applyProtection="0"/>
    <xf numFmtId="5" fontId="33" fillId="0" borderId="0" applyBorder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310">
    <xf numFmtId="0" fontId="0" fillId="0" borderId="0" xfId="0">
      <alignment vertical="center"/>
    </xf>
    <xf numFmtId="0" fontId="32" fillId="0" borderId="0" xfId="78" applyFont="1" applyAlignment="1">
      <alignment horizontal="center" vertical="center" shrinkToFit="1"/>
    </xf>
    <xf numFmtId="0" fontId="32" fillId="0" borderId="0" xfId="78" applyFont="1">
      <alignment vertical="center"/>
    </xf>
    <xf numFmtId="0" fontId="56" fillId="0" borderId="37" xfId="78" applyFont="1" applyBorder="1" applyAlignment="1">
      <alignment horizontal="center" vertical="center"/>
    </xf>
    <xf numFmtId="0" fontId="56" fillId="0" borderId="0" xfId="78" applyFont="1" applyAlignment="1">
      <alignment horizontal="center" vertical="center"/>
    </xf>
    <xf numFmtId="0" fontId="56" fillId="0" borderId="39" xfId="78" applyFont="1" applyBorder="1" applyAlignment="1">
      <alignment horizontal="center" vertical="center"/>
    </xf>
    <xf numFmtId="0" fontId="32" fillId="0" borderId="37" xfId="78" applyFont="1" applyBorder="1" applyAlignment="1">
      <alignment horizontal="center" vertical="center"/>
    </xf>
    <xf numFmtId="0" fontId="32" fillId="0" borderId="0" xfId="78" applyFont="1" applyAlignment="1">
      <alignment horizontal="left" vertical="center"/>
    </xf>
    <xf numFmtId="0" fontId="32" fillId="0" borderId="39" xfId="78" applyFont="1" applyBorder="1" applyAlignment="1">
      <alignment horizontal="center" vertical="center"/>
    </xf>
    <xf numFmtId="0" fontId="32" fillId="9" borderId="34" xfId="78" applyFont="1" applyFill="1" applyBorder="1" applyAlignment="1">
      <alignment horizontal="center" vertical="center"/>
    </xf>
    <xf numFmtId="0" fontId="32" fillId="9" borderId="35" xfId="78" applyFont="1" applyFill="1" applyBorder="1" applyAlignment="1">
      <alignment horizontal="center" vertical="center" wrapText="1"/>
    </xf>
    <xf numFmtId="0" fontId="32" fillId="9" borderId="35" xfId="78" applyFont="1" applyFill="1" applyBorder="1" applyAlignment="1">
      <alignment horizontal="center" vertical="center"/>
    </xf>
    <xf numFmtId="0" fontId="32" fillId="9" borderId="36" xfId="78" applyFont="1" applyFill="1" applyBorder="1" applyAlignment="1">
      <alignment horizontal="center" vertical="center"/>
    </xf>
    <xf numFmtId="0" fontId="57" fillId="0" borderId="0" xfId="12" applyFont="1" applyAlignment="1" applyProtection="1">
      <alignment horizontal="center" vertical="center" shrinkToFit="1"/>
    </xf>
    <xf numFmtId="41" fontId="32" fillId="0" borderId="0" xfId="78" applyNumberFormat="1" applyFont="1">
      <alignment vertical="center"/>
    </xf>
    <xf numFmtId="14" fontId="32" fillId="0" borderId="31" xfId="78" applyNumberFormat="1" applyFont="1" applyBorder="1" applyAlignment="1">
      <alignment horizontal="center" vertical="center"/>
    </xf>
    <xf numFmtId="0" fontId="32" fillId="0" borderId="6" xfId="78" applyFont="1" applyBorder="1" applyAlignment="1">
      <alignment horizontal="center" vertical="center"/>
    </xf>
    <xf numFmtId="41" fontId="32" fillId="0" borderId="6" xfId="79" applyFont="1" applyBorder="1" applyAlignment="1">
      <alignment horizontal="center" vertical="center"/>
    </xf>
    <xf numFmtId="182" fontId="32" fillId="0" borderId="6" xfId="78" applyNumberFormat="1" applyFont="1" applyBorder="1" applyAlignment="1">
      <alignment horizontal="right" vertical="center"/>
    </xf>
    <xf numFmtId="0" fontId="32" fillId="0" borderId="6" xfId="78" applyFont="1" applyBorder="1" applyAlignment="1">
      <alignment horizontal="center" vertical="center" shrinkToFit="1"/>
    </xf>
    <xf numFmtId="0" fontId="32" fillId="0" borderId="6" xfId="78" applyFont="1" applyBorder="1" applyAlignment="1">
      <alignment horizontal="left" vertical="center"/>
    </xf>
    <xf numFmtId="0" fontId="32" fillId="0" borderId="12" xfId="78" applyFont="1" applyBorder="1" applyAlignment="1">
      <alignment horizontal="center" vertical="center" shrinkToFit="1"/>
    </xf>
    <xf numFmtId="0" fontId="32" fillId="0" borderId="0" xfId="78" applyFont="1" applyAlignment="1">
      <alignment horizontal="center" vertical="center"/>
    </xf>
    <xf numFmtId="41" fontId="32" fillId="4" borderId="43" xfId="78" applyNumberFormat="1" applyFont="1" applyFill="1" applyBorder="1">
      <alignment vertical="center"/>
    </xf>
    <xf numFmtId="0" fontId="58" fillId="5" borderId="23" xfId="0" applyFont="1" applyFill="1" applyBorder="1" applyAlignment="1">
      <alignment horizontal="center" vertical="center"/>
    </xf>
    <xf numFmtId="0" fontId="34" fillId="5" borderId="40" xfId="0" applyFont="1" applyFill="1" applyBorder="1" applyAlignment="1">
      <alignment horizontal="center" vertical="center"/>
    </xf>
    <xf numFmtId="0" fontId="57" fillId="5" borderId="22" xfId="12" applyFont="1" applyFill="1" applyBorder="1" applyAlignment="1" applyProtection="1">
      <alignment horizontal="center" vertical="center"/>
    </xf>
    <xf numFmtId="0" fontId="29" fillId="8" borderId="2" xfId="78" applyFont="1" applyFill="1" applyBorder="1" applyAlignment="1">
      <alignment horizontal="center" vertical="center"/>
    </xf>
    <xf numFmtId="49" fontId="31" fillId="0" borderId="14" xfId="78" applyNumberFormat="1" applyFont="1" applyBorder="1" applyAlignment="1">
      <alignment horizontal="left" vertical="center" shrinkToFit="1"/>
    </xf>
    <xf numFmtId="49" fontId="31" fillId="0" borderId="1" xfId="78" applyNumberFormat="1" applyFont="1" applyBorder="1" applyAlignment="1">
      <alignment horizontal="left" vertical="center" shrinkToFit="1"/>
    </xf>
    <xf numFmtId="0" fontId="31" fillId="4" borderId="42" xfId="78" applyFont="1" applyFill="1" applyBorder="1">
      <alignment vertical="center"/>
    </xf>
    <xf numFmtId="0" fontId="31" fillId="10" borderId="6" xfId="78" applyFont="1" applyFill="1" applyBorder="1" applyAlignment="1">
      <alignment horizontal="center" vertical="center"/>
    </xf>
    <xf numFmtId="0" fontId="60" fillId="8" borderId="7" xfId="0" applyFont="1" applyFill="1" applyBorder="1" applyAlignment="1">
      <alignment horizontal="center" vertical="center" wrapText="1"/>
    </xf>
    <xf numFmtId="0" fontId="60" fillId="8" borderId="3" xfId="0" applyFont="1" applyFill="1" applyBorder="1" applyAlignment="1">
      <alignment horizontal="center" vertical="center" wrapText="1"/>
    </xf>
    <xf numFmtId="0" fontId="61" fillId="8" borderId="11" xfId="0" applyFont="1" applyFill="1" applyBorder="1" applyAlignment="1">
      <alignment horizontal="center" vertical="center"/>
    </xf>
    <xf numFmtId="0" fontId="61" fillId="8" borderId="19" xfId="0" applyFont="1" applyFill="1" applyBorder="1" applyAlignment="1">
      <alignment vertical="center" shrinkToFit="1"/>
    </xf>
    <xf numFmtId="0" fontId="62" fillId="8" borderId="2" xfId="0" applyFont="1" applyFill="1" applyBorder="1" applyAlignment="1">
      <alignment horizontal="center" vertical="center"/>
    </xf>
    <xf numFmtId="176" fontId="34" fillId="8" borderId="1" xfId="0" applyNumberFormat="1" applyFont="1" applyFill="1" applyBorder="1" applyAlignment="1">
      <alignment horizontal="right" vertical="center" wrapText="1"/>
    </xf>
    <xf numFmtId="0" fontId="61" fillId="8" borderId="10" xfId="0" applyFont="1" applyFill="1" applyBorder="1">
      <alignment vertical="center"/>
    </xf>
    <xf numFmtId="0" fontId="63" fillId="8" borderId="4" xfId="0" applyFont="1" applyFill="1" applyBorder="1" applyAlignment="1">
      <alignment horizontal="center" vertical="center" shrinkToFit="1"/>
    </xf>
    <xf numFmtId="183" fontId="64" fillId="8" borderId="9" xfId="0" applyNumberFormat="1" applyFont="1" applyFill="1" applyBorder="1" applyAlignment="1">
      <alignment horizontal="right" vertical="center" shrinkToFit="1"/>
    </xf>
    <xf numFmtId="0" fontId="65" fillId="8" borderId="4" xfId="0" applyFont="1" applyFill="1" applyBorder="1" applyAlignment="1">
      <alignment horizontal="left" vertical="center" shrinkToFit="1"/>
    </xf>
    <xf numFmtId="0" fontId="34" fillId="8" borderId="2" xfId="0" applyFont="1" applyFill="1" applyBorder="1" applyAlignment="1">
      <alignment horizontal="center" vertical="center" wrapText="1"/>
    </xf>
    <xf numFmtId="0" fontId="63" fillId="8" borderId="45" xfId="0" applyFont="1" applyFill="1" applyBorder="1" applyAlignment="1">
      <alignment horizontal="center" vertical="center" shrinkToFit="1"/>
    </xf>
    <xf numFmtId="183" fontId="65" fillId="8" borderId="46" xfId="0" applyNumberFormat="1" applyFont="1" applyFill="1" applyBorder="1" applyAlignment="1">
      <alignment horizontal="right" vertical="center" shrinkToFit="1"/>
    </xf>
    <xf numFmtId="183" fontId="65" fillId="8" borderId="47" xfId="0" applyNumberFormat="1" applyFont="1" applyFill="1" applyBorder="1" applyAlignment="1">
      <alignment vertical="center" shrinkToFit="1"/>
    </xf>
    <xf numFmtId="183" fontId="65" fillId="8" borderId="48" xfId="0" applyNumberFormat="1" applyFont="1" applyFill="1" applyBorder="1" applyAlignment="1">
      <alignment horizontal="right" vertical="center" shrinkToFit="1"/>
    </xf>
    <xf numFmtId="183" fontId="65" fillId="8" borderId="49" xfId="0" applyNumberFormat="1" applyFont="1" applyFill="1" applyBorder="1" applyAlignment="1">
      <alignment vertical="center" shrinkToFit="1"/>
    </xf>
    <xf numFmtId="0" fontId="63" fillId="8" borderId="21" xfId="0" applyFont="1" applyFill="1" applyBorder="1" applyAlignment="1">
      <alignment horizontal="center" vertical="center" shrinkToFit="1"/>
    </xf>
    <xf numFmtId="183" fontId="65" fillId="8" borderId="50" xfId="0" applyNumberFormat="1" applyFont="1" applyFill="1" applyBorder="1" applyAlignment="1">
      <alignment horizontal="right" vertical="center" shrinkToFit="1"/>
    </xf>
    <xf numFmtId="183" fontId="65" fillId="8" borderId="51" xfId="0" applyNumberFormat="1" applyFont="1" applyFill="1" applyBorder="1" applyAlignment="1">
      <alignment vertical="center" shrinkToFit="1"/>
    </xf>
    <xf numFmtId="183" fontId="65" fillId="8" borderId="52" xfId="0" applyNumberFormat="1" applyFont="1" applyFill="1" applyBorder="1" applyAlignment="1">
      <alignment horizontal="right" vertical="center" shrinkToFit="1"/>
    </xf>
    <xf numFmtId="183" fontId="65" fillId="8" borderId="53" xfId="0" applyNumberFormat="1" applyFont="1" applyFill="1" applyBorder="1" applyAlignment="1">
      <alignment vertical="center" shrinkToFit="1"/>
    </xf>
    <xf numFmtId="0" fontId="34" fillId="8" borderId="31" xfId="0" applyFont="1" applyFill="1" applyBorder="1" applyAlignment="1">
      <alignment horizontal="center" vertical="center" wrapText="1"/>
    </xf>
    <xf numFmtId="176" fontId="34" fillId="8" borderId="6" xfId="0" applyNumberFormat="1" applyFont="1" applyFill="1" applyBorder="1" applyAlignment="1">
      <alignment horizontal="right" vertical="center" wrapText="1"/>
    </xf>
    <xf numFmtId="0" fontId="61" fillId="8" borderId="12" xfId="0" applyFont="1" applyFill="1" applyBorder="1">
      <alignment vertical="center"/>
    </xf>
    <xf numFmtId="0" fontId="63" fillId="8" borderId="54" xfId="0" applyFont="1" applyFill="1" applyBorder="1" applyAlignment="1">
      <alignment horizontal="center" vertical="center" shrinkToFit="1"/>
    </xf>
    <xf numFmtId="0" fontId="62" fillId="0" borderId="0" xfId="0" applyFont="1">
      <alignment vertical="center"/>
    </xf>
    <xf numFmtId="0" fontId="34" fillId="0" borderId="0" xfId="0" applyFont="1">
      <alignment vertical="center"/>
    </xf>
    <xf numFmtId="0" fontId="0" fillId="8" borderId="2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31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0" borderId="0" xfId="78" applyFont="1">
      <alignment vertical="center"/>
    </xf>
    <xf numFmtId="0" fontId="70" fillId="2" borderId="7" xfId="0" applyFont="1" applyFill="1" applyBorder="1" applyAlignment="1">
      <alignment horizontal="center" vertical="center" wrapText="1"/>
    </xf>
    <xf numFmtId="0" fontId="70" fillId="2" borderId="3" xfId="0" applyFont="1" applyFill="1" applyBorder="1" applyAlignment="1">
      <alignment horizontal="center" vertical="center" wrapText="1"/>
    </xf>
    <xf numFmtId="0" fontId="70" fillId="2" borderId="8" xfId="0" applyFont="1" applyFill="1" applyBorder="1" applyAlignment="1">
      <alignment horizontal="center" vertical="center" wrapText="1"/>
    </xf>
    <xf numFmtId="0" fontId="70" fillId="2" borderId="11" xfId="0" applyFont="1" applyFill="1" applyBorder="1" applyAlignment="1">
      <alignment horizontal="center" vertical="center" wrapText="1"/>
    </xf>
    <xf numFmtId="0" fontId="66" fillId="0" borderId="2" xfId="0" applyFont="1" applyBorder="1" applyAlignment="1">
      <alignment horizontal="center" vertical="center" wrapText="1"/>
    </xf>
    <xf numFmtId="184" fontId="66" fillId="0" borderId="1" xfId="0" quotePrefix="1" applyNumberFormat="1" applyFont="1" applyBorder="1" applyAlignment="1">
      <alignment horizontal="center" vertical="center" wrapText="1"/>
    </xf>
    <xf numFmtId="14" fontId="66" fillId="0" borderId="1" xfId="0" applyNumberFormat="1" applyFont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  <xf numFmtId="0" fontId="66" fillId="0" borderId="10" xfId="0" applyFont="1" applyBorder="1" applyAlignment="1">
      <alignment horizontal="center" vertical="center" wrapText="1"/>
    </xf>
    <xf numFmtId="0" fontId="66" fillId="0" borderId="10" xfId="0" applyFont="1" applyBorder="1" applyAlignment="1">
      <alignment horizontal="justify" vertical="center" wrapText="1"/>
    </xf>
    <xf numFmtId="0" fontId="66" fillId="0" borderId="31" xfId="0" applyFont="1" applyBorder="1" applyAlignment="1">
      <alignment horizontal="center" vertical="center" wrapText="1"/>
    </xf>
    <xf numFmtId="184" fontId="66" fillId="0" borderId="6" xfId="0" applyNumberFormat="1" applyFont="1" applyBorder="1" applyAlignment="1">
      <alignment horizontal="justify" vertical="center" wrapText="1"/>
    </xf>
    <xf numFmtId="0" fontId="66" fillId="0" borderId="6" xfId="0" applyFont="1" applyBorder="1" applyAlignment="1">
      <alignment horizontal="justify" vertical="center" wrapText="1"/>
    </xf>
    <xf numFmtId="0" fontId="66" fillId="0" borderId="12" xfId="0" applyFont="1" applyBorder="1" applyAlignment="1">
      <alignment horizontal="justify" vertical="center" wrapText="1"/>
    </xf>
    <xf numFmtId="0" fontId="68" fillId="0" borderId="0" xfId="0" applyFont="1">
      <alignment vertical="center"/>
    </xf>
    <xf numFmtId="0" fontId="66" fillId="0" borderId="0" xfId="0" applyFont="1">
      <alignment vertical="center"/>
    </xf>
    <xf numFmtId="0" fontId="71" fillId="0" borderId="9" xfId="0" quotePrefix="1" applyFont="1" applyBorder="1">
      <alignment vertical="center"/>
    </xf>
    <xf numFmtId="0" fontId="71" fillId="0" borderId="9" xfId="0" quotePrefix="1" applyFont="1" applyBorder="1" applyAlignment="1">
      <alignment vertical="center" wrapText="1"/>
    </xf>
    <xf numFmtId="0" fontId="71" fillId="0" borderId="55" xfId="0" applyFont="1" applyBorder="1">
      <alignment vertical="center"/>
    </xf>
    <xf numFmtId="41" fontId="32" fillId="8" borderId="1" xfId="79" applyFont="1" applyFill="1" applyBorder="1" applyAlignment="1">
      <alignment horizontal="center" vertical="center"/>
    </xf>
    <xf numFmtId="0" fontId="16" fillId="0" borderId="1" xfId="78" applyBorder="1" applyAlignment="1" applyProtection="1">
      <alignment horizontal="center" vertical="center"/>
      <protection locked="0"/>
    </xf>
    <xf numFmtId="0" fontId="34" fillId="0" borderId="1" xfId="80" applyFont="1" applyBorder="1" applyAlignment="1" applyProtection="1">
      <alignment horizontal="center" vertical="center" shrinkToFit="1"/>
      <protection locked="0"/>
    </xf>
    <xf numFmtId="14" fontId="66" fillId="0" borderId="1" xfId="0" applyNumberFormat="1" applyFont="1" applyBorder="1" applyAlignment="1">
      <alignment horizontal="center" vertical="center"/>
    </xf>
    <xf numFmtId="184" fontId="66" fillId="0" borderId="1" xfId="0" applyNumberFormat="1" applyFont="1" applyBorder="1" applyAlignment="1">
      <alignment horizontal="center" vertical="center" wrapText="1"/>
    </xf>
    <xf numFmtId="0" fontId="29" fillId="8" borderId="9" xfId="78" applyFont="1" applyFill="1" applyBorder="1" applyAlignment="1" applyProtection="1">
      <alignment horizontal="center" vertical="center"/>
      <protection locked="0"/>
    </xf>
    <xf numFmtId="184" fontId="66" fillId="0" borderId="13" xfId="0" applyNumberFormat="1" applyFont="1" applyBorder="1" applyAlignment="1">
      <alignment horizontal="center" vertical="center" wrapText="1"/>
    </xf>
    <xf numFmtId="0" fontId="71" fillId="0" borderId="15" xfId="0" quotePrefix="1" applyFont="1" applyBorder="1" applyAlignment="1">
      <alignment vertical="center" wrapText="1"/>
    </xf>
    <xf numFmtId="14" fontId="66" fillId="0" borderId="1" xfId="0" applyNumberFormat="1" applyFont="1" applyBorder="1" applyAlignment="1">
      <alignment horizontal="justify" vertical="center" wrapText="1"/>
    </xf>
    <xf numFmtId="0" fontId="31" fillId="10" borderId="1" xfId="78" applyFont="1" applyFill="1" applyBorder="1" applyAlignment="1">
      <alignment horizontal="center" vertical="center"/>
    </xf>
    <xf numFmtId="0" fontId="31" fillId="10" borderId="14" xfId="78" applyFont="1" applyFill="1" applyBorder="1" applyAlignment="1">
      <alignment horizontal="center" vertical="center"/>
    </xf>
    <xf numFmtId="0" fontId="78" fillId="0" borderId="0" xfId="0" applyFont="1">
      <alignment vertical="center"/>
    </xf>
    <xf numFmtId="0" fontId="79" fillId="5" borderId="7" xfId="0" applyFont="1" applyFill="1" applyBorder="1" applyAlignment="1">
      <alignment horizontal="center" vertical="center" wrapText="1"/>
    </xf>
    <xf numFmtId="0" fontId="79" fillId="5" borderId="3" xfId="0" applyFont="1" applyFill="1" applyBorder="1" applyAlignment="1">
      <alignment horizontal="center" vertical="center" wrapText="1"/>
    </xf>
    <xf numFmtId="0" fontId="59" fillId="0" borderId="0" xfId="0" applyFont="1">
      <alignment vertical="center"/>
    </xf>
    <xf numFmtId="0" fontId="81" fillId="11" borderId="2" xfId="0" applyFont="1" applyFill="1" applyBorder="1" applyAlignment="1">
      <alignment horizontal="center" vertical="center" shrinkToFit="1"/>
    </xf>
    <xf numFmtId="0" fontId="81" fillId="11" borderId="1" xfId="0" applyFont="1" applyFill="1" applyBorder="1" applyAlignment="1">
      <alignment horizontal="center" vertical="center" shrinkToFit="1"/>
    </xf>
    <xf numFmtId="0" fontId="81" fillId="13" borderId="1" xfId="0" applyFont="1" applyFill="1" applyBorder="1" applyAlignment="1">
      <alignment horizontal="center" vertical="center" shrinkToFit="1"/>
    </xf>
    <xf numFmtId="0" fontId="59" fillId="14" borderId="31" xfId="0" applyFont="1" applyFill="1" applyBorder="1" applyAlignment="1">
      <alignment horizontal="center" vertical="center"/>
    </xf>
    <xf numFmtId="0" fontId="81" fillId="14" borderId="6" xfId="0" applyFont="1" applyFill="1" applyBorder="1" applyAlignment="1">
      <alignment horizontal="center" vertical="center" shrinkToFit="1"/>
    </xf>
    <xf numFmtId="49" fontId="30" fillId="12" borderId="14" xfId="78" applyNumberFormat="1" applyFont="1" applyFill="1" applyBorder="1" applyAlignment="1">
      <alignment horizontal="center" vertical="center"/>
    </xf>
    <xf numFmtId="0" fontId="32" fillId="0" borderId="37" xfId="78" applyFont="1" applyBorder="1" applyAlignment="1">
      <alignment horizontal="center" vertical="center" shrinkToFit="1"/>
    </xf>
    <xf numFmtId="0" fontId="31" fillId="0" borderId="1" xfId="78" applyFont="1" applyBorder="1" applyAlignment="1">
      <alignment horizontal="center" vertical="center"/>
    </xf>
    <xf numFmtId="49" fontId="30" fillId="12" borderId="1" xfId="78" applyNumberFormat="1" applyFont="1" applyFill="1" applyBorder="1" applyAlignment="1">
      <alignment horizontal="center" vertical="center"/>
    </xf>
    <xf numFmtId="0" fontId="31" fillId="0" borderId="6" xfId="78" applyFont="1" applyBorder="1" applyAlignment="1">
      <alignment horizontal="center" vertical="center"/>
    </xf>
    <xf numFmtId="49" fontId="30" fillId="12" borderId="6" xfId="78" applyNumberFormat="1" applyFont="1" applyFill="1" applyBorder="1" applyAlignment="1">
      <alignment horizontal="center" vertical="center"/>
    </xf>
    <xf numFmtId="49" fontId="31" fillId="0" borderId="6" xfId="78" applyNumberFormat="1" applyFont="1" applyBorder="1" applyAlignment="1">
      <alignment horizontal="left" vertical="center" shrinkToFit="1"/>
    </xf>
    <xf numFmtId="0" fontId="31" fillId="0" borderId="1" xfId="78" applyFont="1" applyBorder="1">
      <alignment vertical="center"/>
    </xf>
    <xf numFmtId="41" fontId="31" fillId="4" borderId="12" xfId="78" applyNumberFormat="1" applyFont="1" applyFill="1" applyBorder="1">
      <alignment vertical="center"/>
    </xf>
    <xf numFmtId="41" fontId="31" fillId="4" borderId="32" xfId="1" applyFont="1" applyFill="1" applyBorder="1">
      <alignment vertical="center"/>
    </xf>
    <xf numFmtId="0" fontId="31" fillId="0" borderId="3" xfId="78" applyFont="1" applyBorder="1">
      <alignment vertical="center"/>
    </xf>
    <xf numFmtId="41" fontId="31" fillId="4" borderId="11" xfId="78" applyNumberFormat="1" applyFont="1" applyFill="1" applyBorder="1">
      <alignment vertical="center"/>
    </xf>
    <xf numFmtId="41" fontId="31" fillId="4" borderId="10" xfId="78" applyNumberFormat="1" applyFont="1" applyFill="1" applyBorder="1">
      <alignment vertical="center"/>
    </xf>
    <xf numFmtId="0" fontId="31" fillId="0" borderId="24" xfId="78" applyFont="1" applyBorder="1">
      <alignment vertical="center"/>
    </xf>
    <xf numFmtId="0" fontId="31" fillId="0" borderId="14" xfId="78" applyFont="1" applyBorder="1" applyAlignment="1">
      <alignment horizontal="center" vertical="center"/>
    </xf>
    <xf numFmtId="0" fontId="31" fillId="0" borderId="13" xfId="78" applyFont="1" applyBorder="1" applyAlignment="1">
      <alignment horizontal="center" vertical="center"/>
    </xf>
    <xf numFmtId="0" fontId="31" fillId="0" borderId="3" xfId="78" applyFont="1" applyBorder="1" applyAlignment="1">
      <alignment horizontal="center" vertical="center"/>
    </xf>
    <xf numFmtId="49" fontId="30" fillId="5" borderId="1" xfId="78" applyNumberFormat="1" applyFont="1" applyFill="1" applyBorder="1" applyAlignment="1">
      <alignment horizontal="center" vertical="center"/>
    </xf>
    <xf numFmtId="49" fontId="30" fillId="5" borderId="1" xfId="78" applyNumberFormat="1" applyFont="1" applyFill="1" applyBorder="1" applyAlignment="1">
      <alignment horizontal="left" vertical="center" shrinkToFit="1"/>
    </xf>
    <xf numFmtId="41" fontId="30" fillId="5" borderId="32" xfId="1" applyFont="1" applyFill="1" applyBorder="1">
      <alignment vertical="center"/>
    </xf>
    <xf numFmtId="0" fontId="55" fillId="0" borderId="0" xfId="78" applyFont="1">
      <alignment vertical="center"/>
    </xf>
    <xf numFmtId="0" fontId="84" fillId="0" borderId="0" xfId="2" applyNumberFormat="1" applyFont="1" applyAlignment="1">
      <alignment vertical="center" shrinkToFit="1"/>
    </xf>
    <xf numFmtId="0" fontId="32" fillId="0" borderId="0" xfId="89" applyFont="1">
      <alignment vertical="center"/>
    </xf>
    <xf numFmtId="0" fontId="87" fillId="16" borderId="22" xfId="89" applyFont="1" applyFill="1" applyBorder="1" applyAlignment="1">
      <alignment horizontal="center" vertical="center" wrapText="1"/>
    </xf>
    <xf numFmtId="0" fontId="87" fillId="16" borderId="23" xfId="89" applyFont="1" applyFill="1" applyBorder="1" applyAlignment="1">
      <alignment horizontal="center" vertical="center" wrapText="1"/>
    </xf>
    <xf numFmtId="0" fontId="87" fillId="16" borderId="40" xfId="89" applyFont="1" applyFill="1" applyBorder="1" applyAlignment="1">
      <alignment horizontal="center" vertical="center" wrapText="1"/>
    </xf>
    <xf numFmtId="0" fontId="30" fillId="0" borderId="14" xfId="89" applyFont="1" applyBorder="1" applyAlignment="1">
      <alignment horizontal="center" vertical="center" wrapText="1"/>
    </xf>
    <xf numFmtId="187" fontId="30" fillId="0" borderId="14" xfId="89" applyNumberFormat="1" applyFont="1" applyBorder="1" applyAlignment="1">
      <alignment horizontal="center" vertical="center" wrapText="1"/>
    </xf>
    <xf numFmtId="188" fontId="30" fillId="0" borderId="14" xfId="89" applyNumberFormat="1" applyFont="1" applyBorder="1" applyAlignment="1">
      <alignment horizontal="center" vertical="center" wrapText="1"/>
    </xf>
    <xf numFmtId="3" fontId="30" fillId="0" borderId="32" xfId="89" applyNumberFormat="1" applyFont="1" applyBorder="1" applyAlignment="1">
      <alignment horizontal="right" vertical="center" wrapText="1"/>
    </xf>
    <xf numFmtId="189" fontId="88" fillId="17" borderId="2" xfId="89" applyNumberFormat="1" applyFont="1" applyFill="1" applyBorder="1" applyAlignment="1">
      <alignment horizontal="center" vertical="center" wrapText="1"/>
    </xf>
    <xf numFmtId="0" fontId="88" fillId="17" borderId="1" xfId="89" applyFont="1" applyFill="1" applyBorder="1" applyAlignment="1">
      <alignment horizontal="center" vertical="center" wrapText="1"/>
    </xf>
    <xf numFmtId="0" fontId="88" fillId="17" borderId="1" xfId="89" applyFont="1" applyFill="1" applyBorder="1" applyAlignment="1">
      <alignment horizontal="justify" vertical="center" wrapText="1"/>
    </xf>
    <xf numFmtId="3" fontId="88" fillId="17" borderId="10" xfId="89" applyNumberFormat="1" applyFont="1" applyFill="1" applyBorder="1" applyAlignment="1">
      <alignment horizontal="right" vertical="center" wrapText="1"/>
    </xf>
    <xf numFmtId="185" fontId="88" fillId="0" borderId="20" xfId="89" applyNumberFormat="1" applyFont="1" applyBorder="1" applyAlignment="1">
      <alignment horizontal="center" vertical="center" wrapText="1"/>
    </xf>
    <xf numFmtId="0" fontId="30" fillId="0" borderId="14" xfId="89" applyFont="1" applyBorder="1" applyAlignment="1">
      <alignment horizontal="center" vertical="center" shrinkToFit="1"/>
    </xf>
    <xf numFmtId="186" fontId="30" fillId="0" borderId="14" xfId="89" applyNumberFormat="1" applyFont="1" applyBorder="1" applyAlignment="1">
      <alignment horizontal="right" vertical="center" wrapText="1" indent="1"/>
    </xf>
    <xf numFmtId="0" fontId="88" fillId="17" borderId="31" xfId="89" applyFont="1" applyFill="1" applyBorder="1" applyAlignment="1">
      <alignment horizontal="center" vertical="center" wrapText="1"/>
    </xf>
    <xf numFmtId="0" fontId="88" fillId="17" borderId="6" xfId="89" applyFont="1" applyFill="1" applyBorder="1" applyAlignment="1">
      <alignment horizontal="center" vertical="center" wrapText="1"/>
    </xf>
    <xf numFmtId="0" fontId="88" fillId="17" borderId="6" xfId="89" applyFont="1" applyFill="1" applyBorder="1" applyAlignment="1">
      <alignment horizontal="justify" vertical="center" wrapText="1"/>
    </xf>
    <xf numFmtId="3" fontId="88" fillId="17" borderId="12" xfId="89" applyNumberFormat="1" applyFont="1" applyFill="1" applyBorder="1" applyAlignment="1">
      <alignment horizontal="right" vertical="center" wrapText="1"/>
    </xf>
    <xf numFmtId="185" fontId="30" fillId="0" borderId="2" xfId="88" applyNumberFormat="1" applyFont="1" applyBorder="1" applyAlignment="1">
      <alignment horizontal="center" vertical="center" wrapText="1"/>
    </xf>
    <xf numFmtId="0" fontId="67" fillId="0" borderId="1" xfId="88" applyFont="1" applyBorder="1" applyAlignment="1">
      <alignment horizontal="center" vertical="center" shrinkToFit="1"/>
    </xf>
    <xf numFmtId="0" fontId="30" fillId="0" borderId="1" xfId="88" applyFont="1" applyBorder="1" applyAlignment="1">
      <alignment horizontal="center" vertical="center" shrinkToFit="1"/>
    </xf>
    <xf numFmtId="186" fontId="30" fillId="0" borderId="1" xfId="88" applyNumberFormat="1" applyFont="1" applyBorder="1" applyAlignment="1">
      <alignment horizontal="right" vertical="center" wrapText="1" indent="1"/>
    </xf>
    <xf numFmtId="0" fontId="30" fillId="0" borderId="14" xfId="88" applyFont="1" applyBorder="1" applyAlignment="1">
      <alignment horizontal="center" vertical="center" wrapText="1"/>
    </xf>
    <xf numFmtId="187" fontId="30" fillId="0" borderId="14" xfId="88" applyNumberFormat="1" applyFont="1" applyBorder="1" applyAlignment="1">
      <alignment horizontal="center" vertical="center" wrapText="1"/>
    </xf>
    <xf numFmtId="188" fontId="30" fillId="0" borderId="14" xfId="88" applyNumberFormat="1" applyFont="1" applyBorder="1" applyAlignment="1">
      <alignment horizontal="center" vertical="center" wrapText="1"/>
    </xf>
    <xf numFmtId="3" fontId="30" fillId="0" borderId="32" xfId="88" applyNumberFormat="1" applyFont="1" applyBorder="1" applyAlignment="1">
      <alignment horizontal="right" vertical="center" wrapText="1"/>
    </xf>
    <xf numFmtId="0" fontId="75" fillId="0" borderId="1" xfId="88" applyFont="1" applyBorder="1" applyAlignment="1">
      <alignment horizontal="center" vertical="center" shrinkToFit="1"/>
    </xf>
    <xf numFmtId="0" fontId="0" fillId="3" borderId="96" xfId="0" applyFill="1" applyBorder="1" applyAlignment="1">
      <alignment horizontal="right" vertical="center" wrapText="1"/>
    </xf>
    <xf numFmtId="3" fontId="0" fillId="0" borderId="96" xfId="0" applyNumberFormat="1" applyBorder="1" applyAlignment="1">
      <alignment horizontal="right" vertical="center"/>
    </xf>
    <xf numFmtId="0" fontId="7" fillId="0" borderId="1" xfId="78" applyFont="1" applyBorder="1" applyAlignment="1" applyProtection="1">
      <alignment horizontal="center" vertical="center" shrinkToFit="1"/>
      <protection locked="0"/>
    </xf>
    <xf numFmtId="0" fontId="7" fillId="0" borderId="10" xfId="78" applyFont="1" applyBorder="1" applyAlignment="1" applyProtection="1">
      <alignment horizontal="center" vertical="center" shrinkToFit="1"/>
      <protection locked="0"/>
    </xf>
    <xf numFmtId="0" fontId="6" fillId="0" borderId="10" xfId="78" applyFont="1" applyBorder="1" applyAlignment="1" applyProtection="1">
      <alignment horizontal="center" vertical="center" shrinkToFit="1"/>
      <protection locked="0"/>
    </xf>
    <xf numFmtId="0" fontId="5" fillId="0" borderId="1" xfId="78" applyFont="1" applyBorder="1" applyAlignment="1" applyProtection="1">
      <alignment horizontal="center" vertical="center" wrapText="1" shrinkToFit="1"/>
      <protection locked="0"/>
    </xf>
    <xf numFmtId="0" fontId="3" fillId="0" borderId="1" xfId="78" applyFont="1" applyBorder="1" applyAlignment="1" applyProtection="1">
      <alignment horizontal="center" vertical="center" shrinkToFit="1"/>
      <protection locked="0"/>
    </xf>
    <xf numFmtId="0" fontId="2" fillId="0" borderId="1" xfId="78" applyFont="1" applyBorder="1" applyAlignment="1" applyProtection="1">
      <alignment horizontal="center" vertical="center" shrinkToFit="1"/>
      <protection locked="0"/>
    </xf>
    <xf numFmtId="0" fontId="1" fillId="0" borderId="1" xfId="78" applyFont="1" applyBorder="1" applyAlignment="1" applyProtection="1">
      <alignment horizontal="center" vertical="center" shrinkToFit="1"/>
      <protection locked="0"/>
    </xf>
    <xf numFmtId="49" fontId="30" fillId="12" borderId="13" xfId="78" applyNumberFormat="1" applyFont="1" applyFill="1" applyBorder="1" applyAlignment="1">
      <alignment horizontal="center" vertical="center" wrapText="1"/>
    </xf>
    <xf numFmtId="49" fontId="30" fillId="12" borderId="16" xfId="78" applyNumberFormat="1" applyFont="1" applyFill="1" applyBorder="1" applyAlignment="1">
      <alignment horizontal="center" vertical="center" wrapText="1"/>
    </xf>
    <xf numFmtId="49" fontId="30" fillId="12" borderId="14" xfId="78" applyNumberFormat="1" applyFont="1" applyFill="1" applyBorder="1" applyAlignment="1">
      <alignment horizontal="center" vertical="center" wrapText="1"/>
    </xf>
    <xf numFmtId="49" fontId="30" fillId="12" borderId="13" xfId="78" applyNumberFormat="1" applyFont="1" applyFill="1" applyBorder="1" applyAlignment="1">
      <alignment horizontal="center" vertical="center"/>
    </xf>
    <xf numFmtId="49" fontId="30" fillId="12" borderId="16" xfId="78" applyNumberFormat="1" applyFont="1" applyFill="1" applyBorder="1" applyAlignment="1">
      <alignment horizontal="center" vertical="center"/>
    </xf>
    <xf numFmtId="49" fontId="30" fillId="12" borderId="14" xfId="78" applyNumberFormat="1" applyFont="1" applyFill="1" applyBorder="1" applyAlignment="1">
      <alignment horizontal="center" vertical="center"/>
    </xf>
    <xf numFmtId="0" fontId="31" fillId="4" borderId="94" xfId="78" applyFont="1" applyFill="1" applyBorder="1" applyAlignment="1">
      <alignment horizontal="center" vertical="center"/>
    </xf>
    <xf numFmtId="0" fontId="31" fillId="4" borderId="25" xfId="78" applyFont="1" applyFill="1" applyBorder="1" applyAlignment="1">
      <alignment horizontal="center" vertical="center"/>
    </xf>
    <xf numFmtId="0" fontId="31" fillId="10" borderId="26" xfId="78" applyFont="1" applyFill="1" applyBorder="1" applyAlignment="1">
      <alignment horizontal="center" vertical="center"/>
    </xf>
    <xf numFmtId="0" fontId="31" fillId="10" borderId="14" xfId="78" applyFont="1" applyFill="1" applyBorder="1" applyAlignment="1">
      <alignment horizontal="center" vertical="center"/>
    </xf>
    <xf numFmtId="49" fontId="30" fillId="12" borderId="42" xfId="78" applyNumberFormat="1" applyFont="1" applyFill="1" applyBorder="1" applyAlignment="1">
      <alignment horizontal="center" vertical="center" wrapText="1"/>
    </xf>
    <xf numFmtId="0" fontId="56" fillId="0" borderId="30" xfId="78" applyFont="1" applyBorder="1" applyAlignment="1" applyProtection="1">
      <alignment horizontal="center" vertical="center"/>
      <protection locked="0"/>
    </xf>
    <xf numFmtId="0" fontId="56" fillId="0" borderId="28" xfId="78" applyFont="1" applyBorder="1" applyAlignment="1" applyProtection="1">
      <alignment horizontal="center" vertical="center"/>
      <protection locked="0"/>
    </xf>
    <xf numFmtId="0" fontId="56" fillId="0" borderId="38" xfId="78" applyFont="1" applyBorder="1" applyAlignment="1" applyProtection="1">
      <alignment horizontal="center" vertical="center"/>
      <protection locked="0"/>
    </xf>
    <xf numFmtId="0" fontId="0" fillId="8" borderId="9" xfId="78" applyFont="1" applyFill="1" applyBorder="1" applyAlignment="1" applyProtection="1">
      <alignment horizontal="left" vertical="center"/>
      <protection locked="0"/>
    </xf>
    <xf numFmtId="0" fontId="32" fillId="8" borderId="17" xfId="78" applyFont="1" applyFill="1" applyBorder="1" applyAlignment="1" applyProtection="1">
      <alignment horizontal="left" vertical="center"/>
      <protection locked="0"/>
    </xf>
    <xf numFmtId="0" fontId="32" fillId="8" borderId="5" xfId="78" applyFont="1" applyFill="1" applyBorder="1" applyAlignment="1" applyProtection="1">
      <alignment horizontal="left" vertical="center"/>
      <protection locked="0"/>
    </xf>
    <xf numFmtId="0" fontId="0" fillId="8" borderId="9" xfId="78" applyFont="1" applyFill="1" applyBorder="1" applyAlignment="1" applyProtection="1">
      <alignment horizontal="center" vertical="center"/>
      <protection locked="0"/>
    </xf>
    <xf numFmtId="0" fontId="0" fillId="8" borderId="17" xfId="78" applyFont="1" applyFill="1" applyBorder="1" applyAlignment="1" applyProtection="1">
      <alignment horizontal="center" vertical="center"/>
      <protection locked="0"/>
    </xf>
    <xf numFmtId="0" fontId="32" fillId="8" borderId="5" xfId="78" applyFont="1" applyFill="1" applyBorder="1" applyAlignment="1" applyProtection="1">
      <alignment horizontal="center" vertical="center"/>
      <protection locked="0"/>
    </xf>
    <xf numFmtId="0" fontId="86" fillId="0" borderId="30" xfId="78" applyFont="1" applyBorder="1" applyAlignment="1">
      <alignment horizontal="center" vertical="center"/>
    </xf>
    <xf numFmtId="0" fontId="86" fillId="0" borderId="28" xfId="78" applyFont="1" applyBorder="1" applyAlignment="1">
      <alignment horizontal="center" vertical="center"/>
    </xf>
    <xf numFmtId="0" fontId="86" fillId="0" borderId="38" xfId="78" applyFont="1" applyBorder="1" applyAlignment="1">
      <alignment horizontal="center" vertical="center"/>
    </xf>
    <xf numFmtId="0" fontId="86" fillId="0" borderId="69" xfId="78" applyFont="1" applyBorder="1" applyAlignment="1">
      <alignment horizontal="center" vertical="center"/>
    </xf>
    <xf numFmtId="0" fontId="86" fillId="0" borderId="24" xfId="78" applyFont="1" applyBorder="1" applyAlignment="1">
      <alignment horizontal="center" vertical="center"/>
    </xf>
    <xf numFmtId="0" fontId="86" fillId="0" borderId="70" xfId="78" applyFont="1" applyBorder="1" applyAlignment="1">
      <alignment horizontal="center" vertical="center"/>
    </xf>
    <xf numFmtId="49" fontId="30" fillId="12" borderId="93" xfId="78" applyNumberFormat="1" applyFont="1" applyFill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72" fillId="0" borderId="24" xfId="0" applyFont="1" applyBorder="1" applyAlignment="1">
      <alignment horizontal="right" vertical="center"/>
    </xf>
    <xf numFmtId="0" fontId="56" fillId="0" borderId="0" xfId="89" applyFont="1" applyAlignment="1">
      <alignment horizontal="center" vertical="center"/>
    </xf>
    <xf numFmtId="0" fontId="0" fillId="0" borderId="0" xfId="89" applyFont="1" applyAlignment="1">
      <alignment horizontal="left" vertical="center"/>
    </xf>
    <xf numFmtId="0" fontId="32" fillId="0" borderId="0" xfId="89" applyFont="1" applyAlignment="1">
      <alignment horizontal="left" vertical="center"/>
    </xf>
    <xf numFmtId="0" fontId="0" fillId="0" borderId="0" xfId="89" applyFont="1" applyAlignment="1">
      <alignment horizontal="right" vertical="center"/>
    </xf>
    <xf numFmtId="0" fontId="32" fillId="0" borderId="0" xfId="89" applyFont="1" applyAlignment="1">
      <alignment horizontal="right" vertical="center"/>
    </xf>
    <xf numFmtId="0" fontId="0" fillId="0" borderId="94" xfId="89" applyFont="1" applyBorder="1" applyAlignment="1">
      <alignment horizontal="left" vertical="center" wrapText="1" indent="1"/>
    </xf>
    <xf numFmtId="0" fontId="0" fillId="0" borderId="25" xfId="89" applyFont="1" applyBorder="1" applyAlignment="1">
      <alignment horizontal="left" vertical="center" wrapText="1" indent="1"/>
    </xf>
    <xf numFmtId="0" fontId="0" fillId="0" borderId="95" xfId="89" applyFont="1" applyBorder="1" applyAlignment="1">
      <alignment horizontal="left" vertical="center" wrapText="1" indent="1"/>
    </xf>
    <xf numFmtId="0" fontId="0" fillId="8" borderId="9" xfId="0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41" fontId="62" fillId="8" borderId="9" xfId="2" applyFont="1" applyFill="1" applyBorder="1" applyAlignment="1">
      <alignment horizontal="center" vertical="center"/>
    </xf>
    <xf numFmtId="41" fontId="62" fillId="8" borderId="17" xfId="2" applyFont="1" applyFill="1" applyBorder="1" applyAlignment="1">
      <alignment horizontal="center" vertical="center"/>
    </xf>
    <xf numFmtId="41" fontId="62" fillId="8" borderId="5" xfId="2" applyFont="1" applyFill="1" applyBorder="1" applyAlignment="1">
      <alignment horizontal="center" vertical="center"/>
    </xf>
    <xf numFmtId="0" fontId="0" fillId="8" borderId="55" xfId="0" applyFill="1" applyBorder="1" applyAlignment="1">
      <alignment horizontal="center" vertical="center"/>
    </xf>
    <xf numFmtId="0" fontId="0" fillId="8" borderId="56" xfId="0" applyFill="1" applyBorder="1" applyAlignment="1">
      <alignment horizontal="center" vertical="center"/>
    </xf>
    <xf numFmtId="0" fontId="0" fillId="8" borderId="54" xfId="0" applyFill="1" applyBorder="1" applyAlignment="1">
      <alignment horizontal="center" vertical="center"/>
    </xf>
    <xf numFmtId="41" fontId="62" fillId="8" borderId="55" xfId="2" applyFont="1" applyFill="1" applyBorder="1" applyAlignment="1">
      <alignment horizontal="center" vertical="center"/>
    </xf>
    <xf numFmtId="41" fontId="62" fillId="8" borderId="56" xfId="2" applyFont="1" applyFill="1" applyBorder="1" applyAlignment="1">
      <alignment horizontal="center" vertical="center"/>
    </xf>
    <xf numFmtId="41" fontId="62" fillId="8" borderId="57" xfId="2" applyFont="1" applyFill="1" applyBorder="1" applyAlignment="1">
      <alignment horizontal="center" vertical="center"/>
    </xf>
    <xf numFmtId="0" fontId="81" fillId="14" borderId="6" xfId="0" applyFont="1" applyFill="1" applyBorder="1" applyAlignment="1">
      <alignment horizontal="center" vertical="center" shrinkToFit="1"/>
    </xf>
    <xf numFmtId="0" fontId="82" fillId="14" borderId="6" xfId="0" applyFont="1" applyFill="1" applyBorder="1" applyAlignment="1">
      <alignment horizontal="left" vertical="center"/>
    </xf>
    <xf numFmtId="0" fontId="82" fillId="14" borderId="12" xfId="0" applyFont="1" applyFill="1" applyBorder="1" applyAlignment="1">
      <alignment horizontal="left" vertical="center"/>
    </xf>
    <xf numFmtId="0" fontId="82" fillId="13" borderId="1" xfId="0" applyFont="1" applyFill="1" applyBorder="1" applyAlignment="1">
      <alignment horizontal="left" vertical="center"/>
    </xf>
    <xf numFmtId="0" fontId="82" fillId="13" borderId="10" xfId="0" applyFont="1" applyFill="1" applyBorder="1" applyAlignment="1">
      <alignment horizontal="left" vertical="center"/>
    </xf>
    <xf numFmtId="49" fontId="83" fillId="8" borderId="41" xfId="78" applyNumberFormat="1" applyFont="1" applyFill="1" applyBorder="1" applyAlignment="1">
      <alignment horizontal="center" vertical="center" wrapText="1"/>
    </xf>
    <xf numFmtId="49" fontId="83" fillId="8" borderId="18" xfId="78" applyNumberFormat="1" applyFont="1" applyFill="1" applyBorder="1" applyAlignment="1">
      <alignment horizontal="center" vertical="center" wrapText="1"/>
    </xf>
    <xf numFmtId="49" fontId="83" fillId="8" borderId="20" xfId="78" applyNumberFormat="1" applyFont="1" applyFill="1" applyBorder="1" applyAlignment="1">
      <alignment horizontal="center" vertical="center" wrapText="1"/>
    </xf>
    <xf numFmtId="49" fontId="83" fillId="12" borderId="83" xfId="78" applyNumberFormat="1" applyFont="1" applyFill="1" applyBorder="1" applyAlignment="1">
      <alignment horizontal="center" vertical="center" wrapText="1"/>
    </xf>
    <xf numFmtId="49" fontId="83" fillId="12" borderId="74" xfId="78" applyNumberFormat="1" applyFont="1" applyFill="1" applyBorder="1" applyAlignment="1">
      <alignment horizontal="center" vertical="center" wrapText="1"/>
    </xf>
    <xf numFmtId="49" fontId="83" fillId="12" borderId="77" xfId="78" applyNumberFormat="1" applyFont="1" applyFill="1" applyBorder="1" applyAlignment="1">
      <alignment horizontal="center" vertical="center" wrapText="1"/>
    </xf>
    <xf numFmtId="49" fontId="83" fillId="12" borderId="81" xfId="78" applyNumberFormat="1" applyFont="1" applyFill="1" applyBorder="1" applyAlignment="1">
      <alignment horizontal="center" vertical="center"/>
    </xf>
    <xf numFmtId="0" fontId="84" fillId="12" borderId="81" xfId="2" applyNumberFormat="1" applyFont="1" applyFill="1" applyBorder="1" applyAlignment="1">
      <alignment horizontal="left" vertical="center" shrinkToFit="1"/>
    </xf>
    <xf numFmtId="0" fontId="84" fillId="12" borderId="82" xfId="2" applyNumberFormat="1" applyFont="1" applyFill="1" applyBorder="1" applyAlignment="1">
      <alignment horizontal="left" vertical="center" shrinkToFit="1"/>
    </xf>
    <xf numFmtId="49" fontId="83" fillId="12" borderId="75" xfId="78" applyNumberFormat="1" applyFont="1" applyFill="1" applyBorder="1" applyAlignment="1">
      <alignment horizontal="center" vertical="center"/>
    </xf>
    <xf numFmtId="0" fontId="84" fillId="12" borderId="85" xfId="2" applyNumberFormat="1" applyFont="1" applyFill="1" applyBorder="1" applyAlignment="1">
      <alignment horizontal="left" vertical="center" shrinkToFit="1"/>
    </xf>
    <xf numFmtId="0" fontId="84" fillId="12" borderId="86" xfId="2" applyNumberFormat="1" applyFont="1" applyFill="1" applyBorder="1" applyAlignment="1">
      <alignment horizontal="left" vertical="center" shrinkToFit="1"/>
    </xf>
    <xf numFmtId="0" fontId="84" fillId="12" borderId="87" xfId="2" applyNumberFormat="1" applyFont="1" applyFill="1" applyBorder="1" applyAlignment="1">
      <alignment horizontal="left" vertical="center" shrinkToFit="1"/>
    </xf>
    <xf numFmtId="49" fontId="83" fillId="12" borderId="78" xfId="78" applyNumberFormat="1" applyFont="1" applyFill="1" applyBorder="1" applyAlignment="1">
      <alignment horizontal="center" vertical="center"/>
    </xf>
    <xf numFmtId="0" fontId="84" fillId="12" borderId="88" xfId="2" applyNumberFormat="1" applyFont="1" applyFill="1" applyBorder="1" applyAlignment="1">
      <alignment horizontal="left" vertical="center" shrinkToFit="1"/>
    </xf>
    <xf numFmtId="0" fontId="84" fillId="12" borderId="89" xfId="2" applyNumberFormat="1" applyFont="1" applyFill="1" applyBorder="1" applyAlignment="1">
      <alignment horizontal="left" vertical="center" shrinkToFit="1"/>
    </xf>
    <xf numFmtId="0" fontId="84" fillId="12" borderId="90" xfId="2" applyNumberFormat="1" applyFont="1" applyFill="1" applyBorder="1" applyAlignment="1">
      <alignment horizontal="left" vertical="center" shrinkToFit="1"/>
    </xf>
    <xf numFmtId="0" fontId="84" fillId="12" borderId="75" xfId="2" applyNumberFormat="1" applyFont="1" applyFill="1" applyBorder="1" applyAlignment="1">
      <alignment horizontal="left" vertical="center" shrinkToFit="1"/>
    </xf>
    <xf numFmtId="0" fontId="84" fillId="12" borderId="76" xfId="2" applyNumberFormat="1" applyFont="1" applyFill="1" applyBorder="1" applyAlignment="1">
      <alignment horizontal="left" vertical="center" shrinkToFit="1"/>
    </xf>
    <xf numFmtId="0" fontId="84" fillId="12" borderId="78" xfId="2" applyNumberFormat="1" applyFont="1" applyFill="1" applyBorder="1" applyAlignment="1">
      <alignment horizontal="left" vertical="center" shrinkToFit="1"/>
    </xf>
    <xf numFmtId="0" fontId="84" fillId="12" borderId="79" xfId="2" applyNumberFormat="1" applyFont="1" applyFill="1" applyBorder="1" applyAlignment="1">
      <alignment horizontal="left" vertical="center" shrinkToFit="1"/>
    </xf>
    <xf numFmtId="0" fontId="84" fillId="12" borderId="84" xfId="2" applyNumberFormat="1" applyFont="1" applyFill="1" applyBorder="1" applyAlignment="1">
      <alignment horizontal="left" vertical="center" shrinkToFit="1"/>
    </xf>
    <xf numFmtId="0" fontId="84" fillId="12" borderId="48" xfId="2" applyNumberFormat="1" applyFont="1" applyFill="1" applyBorder="1" applyAlignment="1">
      <alignment horizontal="left" vertical="center" shrinkToFit="1"/>
    </xf>
    <xf numFmtId="0" fontId="84" fillId="12" borderId="49" xfId="2" applyNumberFormat="1" applyFont="1" applyFill="1" applyBorder="1" applyAlignment="1">
      <alignment horizontal="left" vertical="center" shrinkToFit="1"/>
    </xf>
    <xf numFmtId="0" fontId="60" fillId="5" borderId="27" xfId="0" applyFont="1" applyFill="1" applyBorder="1" applyAlignment="1">
      <alignment horizontal="center" vertical="center"/>
    </xf>
    <xf numFmtId="0" fontId="60" fillId="5" borderId="20" xfId="0" applyFont="1" applyFill="1" applyBorder="1" applyAlignment="1">
      <alignment horizontal="center" vertical="center"/>
    </xf>
    <xf numFmtId="0" fontId="60" fillId="5" borderId="26" xfId="0" applyFont="1" applyFill="1" applyBorder="1" applyAlignment="1">
      <alignment horizontal="center" vertical="center"/>
    </xf>
    <xf numFmtId="0" fontId="60" fillId="5" borderId="14" xfId="0" applyFont="1" applyFill="1" applyBorder="1" applyAlignment="1">
      <alignment horizontal="center" vertical="center"/>
    </xf>
    <xf numFmtId="0" fontId="60" fillId="5" borderId="8" xfId="0" applyFont="1" applyFill="1" applyBorder="1" applyAlignment="1">
      <alignment horizontal="center" vertical="center"/>
    </xf>
    <xf numFmtId="0" fontId="60" fillId="5" borderId="91" xfId="0" applyFont="1" applyFill="1" applyBorder="1" applyAlignment="1">
      <alignment horizontal="center" vertical="center"/>
    </xf>
    <xf numFmtId="0" fontId="60" fillId="5" borderId="19" xfId="0" applyFont="1" applyFill="1" applyBorder="1" applyAlignment="1">
      <alignment horizontal="center" vertical="center"/>
    </xf>
    <xf numFmtId="41" fontId="60" fillId="5" borderId="8" xfId="2" applyFont="1" applyFill="1" applyBorder="1" applyAlignment="1">
      <alignment horizontal="center" vertical="center"/>
    </xf>
    <xf numFmtId="41" fontId="60" fillId="5" borderId="91" xfId="2" applyFont="1" applyFill="1" applyBorder="1" applyAlignment="1">
      <alignment horizontal="center" vertical="center"/>
    </xf>
    <xf numFmtId="41" fontId="60" fillId="5" borderId="92" xfId="2" applyFont="1" applyFill="1" applyBorder="1" applyAlignment="1">
      <alignment horizontal="center" vertical="center"/>
    </xf>
    <xf numFmtId="0" fontId="60" fillId="5" borderId="9" xfId="0" applyFont="1" applyFill="1" applyBorder="1" applyAlignment="1">
      <alignment horizontal="center" vertical="center"/>
    </xf>
    <xf numFmtId="0" fontId="60" fillId="5" borderId="17" xfId="0" applyFont="1" applyFill="1" applyBorder="1" applyAlignment="1">
      <alignment horizontal="center" vertical="center"/>
    </xf>
    <xf numFmtId="0" fontId="60" fillId="5" borderId="4" xfId="0" applyFont="1" applyFill="1" applyBorder="1" applyAlignment="1">
      <alignment horizontal="center" vertical="center"/>
    </xf>
    <xf numFmtId="41" fontId="60" fillId="5" borderId="9" xfId="2" applyFont="1" applyFill="1" applyBorder="1" applyAlignment="1">
      <alignment horizontal="center" vertical="center"/>
    </xf>
    <xf numFmtId="41" fontId="60" fillId="5" borderId="17" xfId="2" applyFont="1" applyFill="1" applyBorder="1" applyAlignment="1">
      <alignment horizontal="center" vertical="center"/>
    </xf>
    <xf numFmtId="41" fontId="60" fillId="5" borderId="5" xfId="2" applyFont="1" applyFill="1" applyBorder="1" applyAlignment="1">
      <alignment horizontal="center" vertical="center"/>
    </xf>
    <xf numFmtId="49" fontId="83" fillId="15" borderId="81" xfId="78" applyNumberFormat="1" applyFont="1" applyFill="1" applyBorder="1" applyAlignment="1">
      <alignment horizontal="center" vertical="center"/>
    </xf>
    <xf numFmtId="0" fontId="85" fillId="15" borderId="81" xfId="2" applyNumberFormat="1" applyFont="1" applyFill="1" applyBorder="1" applyAlignment="1">
      <alignment horizontal="left" vertical="center" shrinkToFit="1"/>
    </xf>
    <xf numFmtId="0" fontId="85" fillId="15" borderId="82" xfId="2" applyNumberFormat="1" applyFont="1" applyFill="1" applyBorder="1" applyAlignment="1">
      <alignment horizontal="left" vertical="center" shrinkToFit="1"/>
    </xf>
    <xf numFmtId="0" fontId="59" fillId="13" borderId="2" xfId="0" applyFont="1" applyFill="1" applyBorder="1" applyAlignment="1">
      <alignment horizontal="center" vertical="center"/>
    </xf>
    <xf numFmtId="0" fontId="81" fillId="13" borderId="1" xfId="0" applyFont="1" applyFill="1" applyBorder="1" applyAlignment="1">
      <alignment horizontal="center" vertical="center" shrinkToFit="1"/>
    </xf>
    <xf numFmtId="49" fontId="83" fillId="12" borderId="80" xfId="78" applyNumberFormat="1" applyFont="1" applyFill="1" applyBorder="1" applyAlignment="1">
      <alignment horizontal="center" vertical="center"/>
    </xf>
    <xf numFmtId="49" fontId="83" fillId="12" borderId="74" xfId="78" applyNumberFormat="1" applyFont="1" applyFill="1" applyBorder="1" applyAlignment="1">
      <alignment horizontal="center" vertical="center"/>
    </xf>
    <xf numFmtId="49" fontId="83" fillId="12" borderId="77" xfId="78" applyNumberFormat="1" applyFont="1" applyFill="1" applyBorder="1" applyAlignment="1">
      <alignment horizontal="center" vertical="center"/>
    </xf>
    <xf numFmtId="49" fontId="83" fillId="12" borderId="72" xfId="78" applyNumberFormat="1" applyFont="1" applyFill="1" applyBorder="1" applyAlignment="1">
      <alignment horizontal="center" vertical="center"/>
    </xf>
    <xf numFmtId="49" fontId="83" fillId="8" borderId="41" xfId="78" applyNumberFormat="1" applyFont="1" applyFill="1" applyBorder="1" applyAlignment="1">
      <alignment horizontal="center" vertical="center"/>
    </xf>
    <xf numFmtId="49" fontId="83" fillId="8" borderId="18" xfId="78" applyNumberFormat="1" applyFont="1" applyFill="1" applyBorder="1" applyAlignment="1">
      <alignment horizontal="center" vertical="center"/>
    </xf>
    <xf numFmtId="49" fontId="83" fillId="8" borderId="20" xfId="78" applyNumberFormat="1" applyFont="1" applyFill="1" applyBorder="1" applyAlignment="1">
      <alignment horizontal="center" vertical="center"/>
    </xf>
    <xf numFmtId="49" fontId="83" fillId="12" borderId="83" xfId="78" applyNumberFormat="1" applyFont="1" applyFill="1" applyBorder="1" applyAlignment="1">
      <alignment horizontal="center" vertical="center"/>
    </xf>
    <xf numFmtId="0" fontId="64" fillId="8" borderId="67" xfId="0" applyFont="1" applyFill="1" applyBorder="1" applyAlignment="1">
      <alignment horizontal="center" vertical="center" shrinkToFit="1"/>
    </xf>
    <xf numFmtId="0" fontId="64" fillId="8" borderId="4" xfId="0" applyFont="1" applyFill="1" applyBorder="1" applyAlignment="1">
      <alignment horizontal="center" vertical="center" shrinkToFit="1"/>
    </xf>
    <xf numFmtId="0" fontId="30" fillId="8" borderId="9" xfId="0" applyFont="1" applyFill="1" applyBorder="1" applyAlignment="1">
      <alignment horizontal="left" vertical="center" indent="1"/>
    </xf>
    <xf numFmtId="0" fontId="30" fillId="8" borderId="17" xfId="0" applyFont="1" applyFill="1" applyBorder="1" applyAlignment="1">
      <alignment horizontal="left" vertical="center" indent="1"/>
    </xf>
    <xf numFmtId="0" fontId="30" fillId="8" borderId="5" xfId="0" applyFont="1" applyFill="1" applyBorder="1" applyAlignment="1">
      <alignment horizontal="left" vertical="center" indent="1"/>
    </xf>
    <xf numFmtId="0" fontId="64" fillId="8" borderId="68" xfId="0" applyFont="1" applyFill="1" applyBorder="1" applyAlignment="1">
      <alignment horizontal="center" vertical="center" shrinkToFit="1"/>
    </xf>
    <xf numFmtId="0" fontId="64" fillId="8" borderId="54" xfId="0" applyFont="1" applyFill="1" applyBorder="1" applyAlignment="1">
      <alignment horizontal="center" vertical="center" shrinkToFit="1"/>
    </xf>
    <xf numFmtId="0" fontId="30" fillId="8" borderId="55" xfId="0" applyFont="1" applyFill="1" applyBorder="1" applyAlignment="1">
      <alignment horizontal="left" vertical="center" indent="1"/>
    </xf>
    <xf numFmtId="0" fontId="30" fillId="8" borderId="56" xfId="0" applyFont="1" applyFill="1" applyBorder="1" applyAlignment="1">
      <alignment horizontal="left" vertical="center" indent="1"/>
    </xf>
    <xf numFmtId="0" fontId="30" fillId="8" borderId="57" xfId="0" applyFont="1" applyFill="1" applyBorder="1" applyAlignment="1">
      <alignment horizontal="left" vertical="center" indent="1"/>
    </xf>
    <xf numFmtId="0" fontId="79" fillId="5" borderId="3" xfId="0" applyFont="1" applyFill="1" applyBorder="1" applyAlignment="1">
      <alignment horizontal="center" vertical="center" wrapText="1"/>
    </xf>
    <xf numFmtId="0" fontId="80" fillId="5" borderId="3" xfId="0" applyFont="1" applyFill="1" applyBorder="1" applyAlignment="1">
      <alignment horizontal="center" vertical="center"/>
    </xf>
    <xf numFmtId="0" fontId="80" fillId="5" borderId="11" xfId="0" applyFont="1" applyFill="1" applyBorder="1" applyAlignment="1">
      <alignment horizontal="center" vertical="center"/>
    </xf>
    <xf numFmtId="0" fontId="81" fillId="11" borderId="35" xfId="0" applyFont="1" applyFill="1" applyBorder="1" applyAlignment="1">
      <alignment horizontal="center" vertical="center" shrinkToFit="1"/>
    </xf>
    <xf numFmtId="0" fontId="82" fillId="11" borderId="35" xfId="0" applyFont="1" applyFill="1" applyBorder="1" applyAlignment="1">
      <alignment horizontal="left" vertical="center"/>
    </xf>
    <xf numFmtId="0" fontId="82" fillId="11" borderId="36" xfId="0" applyFont="1" applyFill="1" applyBorder="1" applyAlignment="1">
      <alignment horizontal="left" vertical="center"/>
    </xf>
    <xf numFmtId="49" fontId="83" fillId="8" borderId="44" xfId="78" applyNumberFormat="1" applyFont="1" applyFill="1" applyBorder="1" applyAlignment="1">
      <alignment horizontal="center" vertical="center"/>
    </xf>
    <xf numFmtId="49" fontId="83" fillId="12" borderId="71" xfId="78" applyNumberFormat="1" applyFont="1" applyFill="1" applyBorder="1" applyAlignment="1">
      <alignment horizontal="center" vertical="center"/>
    </xf>
    <xf numFmtId="0" fontId="84" fillId="12" borderId="72" xfId="2" applyNumberFormat="1" applyFont="1" applyFill="1" applyBorder="1" applyAlignment="1">
      <alignment horizontal="left" vertical="center" shrinkToFit="1"/>
    </xf>
    <xf numFmtId="0" fontId="84" fillId="12" borderId="73" xfId="2" applyNumberFormat="1" applyFont="1" applyFill="1" applyBorder="1" applyAlignment="1">
      <alignment horizontal="left" vertical="center" shrinkToFit="1"/>
    </xf>
    <xf numFmtId="0" fontId="76" fillId="0" borderId="24" xfId="0" applyFont="1" applyBorder="1" applyAlignment="1">
      <alignment horizontal="left" vertical="center"/>
    </xf>
    <xf numFmtId="0" fontId="61" fillId="8" borderId="3" xfId="0" applyFont="1" applyFill="1" applyBorder="1" applyAlignment="1">
      <alignment horizontal="center" vertical="center" shrinkToFit="1"/>
    </xf>
    <xf numFmtId="0" fontId="65" fillId="8" borderId="1" xfId="0" applyFont="1" applyFill="1" applyBorder="1" applyAlignment="1">
      <alignment horizontal="left" vertical="center" shrinkToFit="1"/>
    </xf>
    <xf numFmtId="0" fontId="65" fillId="8" borderId="10" xfId="0" applyFont="1" applyFill="1" applyBorder="1" applyAlignment="1">
      <alignment horizontal="left" vertical="center" shrinkToFit="1"/>
    </xf>
    <xf numFmtId="0" fontId="65" fillId="8" borderId="9" xfId="0" applyFont="1" applyFill="1" applyBorder="1" applyAlignment="1">
      <alignment horizontal="left" vertical="center" shrinkToFit="1"/>
    </xf>
    <xf numFmtId="0" fontId="65" fillId="8" borderId="17" xfId="0" applyFont="1" applyFill="1" applyBorder="1" applyAlignment="1">
      <alignment horizontal="left" vertical="center" shrinkToFit="1"/>
    </xf>
    <xf numFmtId="0" fontId="65" fillId="8" borderId="5" xfId="0" applyFont="1" applyFill="1" applyBorder="1" applyAlignment="1">
      <alignment horizontal="left" vertical="center" shrinkToFit="1"/>
    </xf>
    <xf numFmtId="183" fontId="65" fillId="8" borderId="55" xfId="0" applyNumberFormat="1" applyFont="1" applyFill="1" applyBorder="1" applyAlignment="1">
      <alignment horizontal="center" vertical="center" shrinkToFit="1"/>
    </xf>
    <xf numFmtId="183" fontId="65" fillId="8" borderId="56" xfId="0" applyNumberFormat="1" applyFont="1" applyFill="1" applyBorder="1" applyAlignment="1">
      <alignment horizontal="center" vertical="center" shrinkToFit="1"/>
    </xf>
    <xf numFmtId="183" fontId="65" fillId="8" borderId="57" xfId="0" applyNumberFormat="1" applyFont="1" applyFill="1" applyBorder="1" applyAlignment="1">
      <alignment horizontal="center" vertical="center" shrinkToFit="1"/>
    </xf>
    <xf numFmtId="0" fontId="60" fillId="5" borderId="58" xfId="0" applyFont="1" applyFill="1" applyBorder="1" applyAlignment="1">
      <alignment horizontal="center" vertical="center" wrapText="1"/>
    </xf>
    <xf numFmtId="0" fontId="60" fillId="5" borderId="59" xfId="0" applyFont="1" applyFill="1" applyBorder="1" applyAlignment="1">
      <alignment horizontal="center" vertical="center" wrapText="1"/>
    </xf>
    <xf numFmtId="0" fontId="61" fillId="5" borderId="60" xfId="0" applyFont="1" applyFill="1" applyBorder="1" applyAlignment="1">
      <alignment horizontal="center" vertical="center"/>
    </xf>
    <xf numFmtId="0" fontId="61" fillId="5" borderId="61" xfId="0" applyFont="1" applyFill="1" applyBorder="1" applyAlignment="1">
      <alignment horizontal="center" vertical="center"/>
    </xf>
    <xf numFmtId="0" fontId="61" fillId="5" borderId="62" xfId="0" applyFont="1" applyFill="1" applyBorder="1" applyAlignment="1">
      <alignment horizontal="center" vertical="center"/>
    </xf>
    <xf numFmtId="0" fontId="64" fillId="8" borderId="63" xfId="0" applyFont="1" applyFill="1" applyBorder="1" applyAlignment="1">
      <alignment horizontal="center" vertical="center" shrinkToFit="1"/>
    </xf>
    <xf numFmtId="0" fontId="64" fillId="8" borderId="21" xfId="0" applyFont="1" applyFill="1" applyBorder="1" applyAlignment="1">
      <alignment horizontal="center" vertical="center" shrinkToFit="1"/>
    </xf>
    <xf numFmtId="0" fontId="30" fillId="8" borderId="64" xfId="0" applyFont="1" applyFill="1" applyBorder="1" applyAlignment="1">
      <alignment horizontal="left" vertical="center" indent="1"/>
    </xf>
    <xf numFmtId="0" fontId="30" fillId="8" borderId="65" xfId="0" applyFont="1" applyFill="1" applyBorder="1" applyAlignment="1">
      <alignment horizontal="left" vertical="center" indent="1"/>
    </xf>
    <xf numFmtId="0" fontId="30" fillId="8" borderId="66" xfId="0" applyFont="1" applyFill="1" applyBorder="1" applyAlignment="1">
      <alignment horizontal="left" vertical="center" indent="1"/>
    </xf>
    <xf numFmtId="0" fontId="61" fillId="8" borderId="11" xfId="0" applyFont="1" applyFill="1" applyBorder="1" applyAlignment="1">
      <alignment horizontal="center" vertical="center" shrinkToFit="1"/>
    </xf>
  </cellXfs>
  <cellStyles count="132">
    <cellStyle name="_도로,상,하수 DB구축설계서(2,4급)_2005" xfId="14" xr:uid="{00000000-0005-0000-0000-000000000000}"/>
    <cellStyle name="_보완측량_시설물" xfId="15" xr:uid="{00000000-0005-0000-0000-000001000000}"/>
    <cellStyle name="¤@?e_TEST-1 " xfId="16" xr:uid="{00000000-0005-0000-0000-000002000000}"/>
    <cellStyle name="A¨­￠￢￠O [0]_INQUIRY ￠?￥i¨u¡AAⓒ￢Aⓒª " xfId="17" xr:uid="{00000000-0005-0000-0000-000003000000}"/>
    <cellStyle name="A¨­￠￢￠O_INQUIRY ￠?￥i¨u¡AAⓒ￢Aⓒª " xfId="18" xr:uid="{00000000-0005-0000-0000-000004000000}"/>
    <cellStyle name="AeE­ [0]_AMT " xfId="19" xr:uid="{00000000-0005-0000-0000-000005000000}"/>
    <cellStyle name="AeE­_AMT " xfId="20" xr:uid="{00000000-0005-0000-0000-000006000000}"/>
    <cellStyle name="AeE¡ⓒ [0]_INQUIRY ￠?￥i¨u¡AAⓒ￢Aⓒª " xfId="21" xr:uid="{00000000-0005-0000-0000-000007000000}"/>
    <cellStyle name="AeE¡ⓒ_INQUIRY ￠?￥i¨u¡AAⓒ￢Aⓒª " xfId="22" xr:uid="{00000000-0005-0000-0000-000008000000}"/>
    <cellStyle name="AÞ¸¶ [0]_AN°y(1.25) " xfId="23" xr:uid="{00000000-0005-0000-0000-000009000000}"/>
    <cellStyle name="AÞ¸¶_AN°y(1.25) " xfId="24" xr:uid="{00000000-0005-0000-0000-00000A000000}"/>
    <cellStyle name="C¡IA¨ª_¡ic¨u¡A¨￢I¨￢¡Æ AN¡Æe " xfId="25" xr:uid="{00000000-0005-0000-0000-00000B000000}"/>
    <cellStyle name="C￥AØ_¿μ¾÷CoE² " xfId="26" xr:uid="{00000000-0005-0000-0000-00000C000000}"/>
    <cellStyle name="Comma" xfId="27" xr:uid="{00000000-0005-0000-0000-00000D000000}"/>
    <cellStyle name="Comma [0]_ SG&amp;A Bridge " xfId="28" xr:uid="{00000000-0005-0000-0000-00000E000000}"/>
    <cellStyle name="Comma_ SG&amp;A Bridge " xfId="29" xr:uid="{00000000-0005-0000-0000-00000F000000}"/>
    <cellStyle name="Comma0" xfId="30" xr:uid="{00000000-0005-0000-0000-000010000000}"/>
    <cellStyle name="Curren?_x0012_퐀_x0017_?" xfId="31" xr:uid="{00000000-0005-0000-0000-000011000000}"/>
    <cellStyle name="Currency" xfId="32" xr:uid="{00000000-0005-0000-0000-000012000000}"/>
    <cellStyle name="Currency [0]_ SG&amp;A Bridge " xfId="33" xr:uid="{00000000-0005-0000-0000-000013000000}"/>
    <cellStyle name="Currency_ SG&amp;A Bridge " xfId="34" xr:uid="{00000000-0005-0000-0000-000014000000}"/>
    <cellStyle name="Currency0" xfId="35" xr:uid="{00000000-0005-0000-0000-000015000000}"/>
    <cellStyle name="Date" xfId="36" xr:uid="{00000000-0005-0000-0000-000016000000}"/>
    <cellStyle name="Fixed" xfId="37" xr:uid="{00000000-0005-0000-0000-000017000000}"/>
    <cellStyle name="Grey" xfId="38" xr:uid="{00000000-0005-0000-0000-000018000000}"/>
    <cellStyle name="Header1" xfId="39" xr:uid="{00000000-0005-0000-0000-000019000000}"/>
    <cellStyle name="Header2" xfId="40" xr:uid="{00000000-0005-0000-0000-00001A000000}"/>
    <cellStyle name="Heading 1" xfId="41" xr:uid="{00000000-0005-0000-0000-00001B000000}"/>
    <cellStyle name="Heading 2" xfId="42" xr:uid="{00000000-0005-0000-0000-00001C000000}"/>
    <cellStyle name="Heading1" xfId="43" xr:uid="{00000000-0005-0000-0000-00001D000000}"/>
    <cellStyle name="Heading2" xfId="44" xr:uid="{00000000-0005-0000-0000-00001E000000}"/>
    <cellStyle name="Input [yellow]" xfId="45" xr:uid="{00000000-0005-0000-0000-00001F000000}"/>
    <cellStyle name="Normal - Style1" xfId="46" xr:uid="{00000000-0005-0000-0000-000020000000}"/>
    <cellStyle name="Normal_ SG&amp;A Bridge " xfId="47" xr:uid="{00000000-0005-0000-0000-000021000000}"/>
    <cellStyle name="Percent" xfId="48" xr:uid="{00000000-0005-0000-0000-000022000000}"/>
    <cellStyle name="Percent [2]" xfId="49" xr:uid="{00000000-0005-0000-0000-000023000000}"/>
    <cellStyle name="subhead" xfId="50" xr:uid="{00000000-0005-0000-0000-000024000000}"/>
    <cellStyle name="Total" xfId="51" xr:uid="{00000000-0005-0000-0000-000025000000}"/>
    <cellStyle name="계산 2" xfId="69" xr:uid="{00000000-0005-0000-0000-000026000000}"/>
    <cellStyle name="똿뗦먛귟 [0.00]_PRODUCT DETAIL Q1" xfId="52" xr:uid="{00000000-0005-0000-0000-000027000000}"/>
    <cellStyle name="똿뗦먛귟_PRODUCT DETAIL Q1" xfId="53" xr:uid="{00000000-0005-0000-0000-000028000000}"/>
    <cellStyle name="믅됞 [0.00]_PRODUCT DETAIL Q1" xfId="54" xr:uid="{00000000-0005-0000-0000-000029000000}"/>
    <cellStyle name="믅됞_PRODUCT DETAIL Q1" xfId="55" xr:uid="{00000000-0005-0000-0000-00002A000000}"/>
    <cellStyle name="백분율 2" xfId="56" xr:uid="{00000000-0005-0000-0000-00002B000000}"/>
    <cellStyle name="뷭?_BOOKSHIP" xfId="57" xr:uid="{00000000-0005-0000-0000-00002C000000}"/>
    <cellStyle name="쉼표 [0]" xfId="1" builtinId="6"/>
    <cellStyle name="쉼표 [0] 2" xfId="58" xr:uid="{00000000-0005-0000-0000-00002E000000}"/>
    <cellStyle name="쉼표 [0] 2 2" xfId="102" xr:uid="{78100800-186F-45F0-8630-7FB37B2F97AB}"/>
    <cellStyle name="쉼표 [0] 3" xfId="79" xr:uid="{00000000-0005-0000-0000-00002F000000}"/>
    <cellStyle name="쉼표 [0] 3 2" xfId="119" xr:uid="{A304F04B-ED51-499D-8E50-E266E0AE5BB5}"/>
    <cellStyle name="쉼표 [0] 4" xfId="84" xr:uid="{00000000-0005-0000-0000-000030000000}"/>
    <cellStyle name="쉼표 [0] 4 2" xfId="123" xr:uid="{455972FC-5B12-4796-9093-204C21042F2C}"/>
    <cellStyle name="쉼표 [0] 5" xfId="2" xr:uid="{00000000-0005-0000-0000-000031000000}"/>
    <cellStyle name="쉼표 [0] 5 2" xfId="94" xr:uid="{E1A55566-BF61-4EE9-AE93-17470B78274D}"/>
    <cellStyle name="쉼표 [0] 6" xfId="93" xr:uid="{17513EFE-5F72-488B-A02C-9FDA38A8B797}"/>
    <cellStyle name="스타일 1" xfId="59" xr:uid="{00000000-0005-0000-0000-000032000000}"/>
    <cellStyle name="콤마 [0]_ 견적기준 FLOW " xfId="60" xr:uid="{00000000-0005-0000-0000-000033000000}"/>
    <cellStyle name="콤마_ 견적기준 FLOW " xfId="61" xr:uid="{00000000-0005-0000-0000-000034000000}"/>
    <cellStyle name="표준" xfId="0" builtinId="0"/>
    <cellStyle name="표준 10" xfId="67" xr:uid="{00000000-0005-0000-0000-000036000000}"/>
    <cellStyle name="표준 10 2" xfId="108" xr:uid="{1A08F7F9-F690-40A0-AB89-9811C9F40506}"/>
    <cellStyle name="표준 11" xfId="70" xr:uid="{00000000-0005-0000-0000-000037000000}"/>
    <cellStyle name="표준 11 2" xfId="110" xr:uid="{04DF93E4-6CEB-408F-A68E-484146F11D7A}"/>
    <cellStyle name="표준 12" xfId="72" xr:uid="{00000000-0005-0000-0000-000038000000}"/>
    <cellStyle name="표준 12 2" xfId="112" xr:uid="{A270F310-B3D9-4106-88BE-C477B327A474}"/>
    <cellStyle name="표준 13" xfId="74" xr:uid="{00000000-0005-0000-0000-000039000000}"/>
    <cellStyle name="표준 13 2" xfId="114" xr:uid="{B54007AB-77C7-4D03-8255-47A4E341B707}"/>
    <cellStyle name="표준 14" xfId="78" xr:uid="{00000000-0005-0000-0000-00003A000000}"/>
    <cellStyle name="표준 14 2" xfId="85" xr:uid="{00000000-0005-0000-0000-00003B000000}"/>
    <cellStyle name="표준 14 2 2" xfId="124" xr:uid="{B3F7E3CE-C904-44FC-AC48-97CBEF679CBA}"/>
    <cellStyle name="표준 14 3" xfId="118" xr:uid="{6E6D041B-F0A5-45BC-BD3A-23415AFA0624}"/>
    <cellStyle name="표준 15" xfId="83" xr:uid="{00000000-0005-0000-0000-00003C000000}"/>
    <cellStyle name="표준 15 2" xfId="122" xr:uid="{B17E7BFC-E7B8-42B2-BC23-BCD07B86CEC9}"/>
    <cellStyle name="표준 16" xfId="86" xr:uid="{00000000-0005-0000-0000-00003D000000}"/>
    <cellStyle name="표준 16 2" xfId="125" xr:uid="{930504A0-2C89-4D69-92B0-B39AD8A14B11}"/>
    <cellStyle name="표준 17" xfId="87" xr:uid="{00000000-0005-0000-0000-00003E000000}"/>
    <cellStyle name="표준 17 2" xfId="88" xr:uid="{D67D19F4-F83C-45D3-8E01-49D7C4803A51}"/>
    <cellStyle name="표준 17 2 2" xfId="90" xr:uid="{C8A15C35-76BA-4696-9528-7F47DF76733B}"/>
    <cellStyle name="표준 17 2 2 2" xfId="129" xr:uid="{DC52A235-8D53-4714-9301-6778ED858429}"/>
    <cellStyle name="표준 17 2 3" xfId="92" xr:uid="{261E6F4D-3D4D-4BB7-AE3D-CAE176EAE152}"/>
    <cellStyle name="표준 17 2 3 2" xfId="131" xr:uid="{1C1D6B89-9599-4352-BAC0-3D7471B31E18}"/>
    <cellStyle name="표준 17 2 4" xfId="127" xr:uid="{DC4B4AC7-45FA-421C-8E62-3BF67C334B72}"/>
    <cellStyle name="표준 17 3" xfId="89" xr:uid="{EC711AC7-42E9-47E4-875E-AC26C004DC5F}"/>
    <cellStyle name="표준 17 3 2" xfId="128" xr:uid="{103F7A07-B28B-41AA-9550-9A30B0BD3FFC}"/>
    <cellStyle name="표준 17 4" xfId="91" xr:uid="{8EB7505C-BE0D-4C4C-A548-7A2771054E0F}"/>
    <cellStyle name="표준 17 4 2" xfId="130" xr:uid="{42196A5F-12BD-4B49-AB88-A600A36848BA}"/>
    <cellStyle name="표준 17 5" xfId="126" xr:uid="{9B1E42EE-024A-438E-9C79-43E87BC43E1E}"/>
    <cellStyle name="표준 2" xfId="3" xr:uid="{00000000-0005-0000-0000-00003F000000}"/>
    <cellStyle name="표준 2 2" xfId="80" xr:uid="{00000000-0005-0000-0000-000040000000}"/>
    <cellStyle name="표준 3" xfId="4" xr:uid="{00000000-0005-0000-0000-000041000000}"/>
    <cellStyle name="표준 3 2" xfId="5" xr:uid="{00000000-0005-0000-0000-000042000000}"/>
    <cellStyle name="표준 4" xfId="6" xr:uid="{00000000-0005-0000-0000-000043000000}"/>
    <cellStyle name="표준 4 2" xfId="7" xr:uid="{00000000-0005-0000-0000-000044000000}"/>
    <cellStyle name="표준 4 2 2" xfId="77" xr:uid="{00000000-0005-0000-0000-000045000000}"/>
    <cellStyle name="표준 4 2 2 2" xfId="117" xr:uid="{FE24A825-4F26-48B2-B40D-F950BB3DF23B}"/>
    <cellStyle name="표준 4 2 3" xfId="82" xr:uid="{00000000-0005-0000-0000-000046000000}"/>
    <cellStyle name="표준 4 2 3 2" xfId="121" xr:uid="{AE39D56A-32CB-40CC-9329-814C16E9BCED}"/>
    <cellStyle name="표준 4 2 4" xfId="96" xr:uid="{CB4570BF-3DAA-4F7E-AF34-5C1A47174CD3}"/>
    <cellStyle name="표준 4 3" xfId="76" xr:uid="{00000000-0005-0000-0000-000047000000}"/>
    <cellStyle name="표준 4 3 2" xfId="81" xr:uid="{00000000-0005-0000-0000-000048000000}"/>
    <cellStyle name="표준 4 3 2 2" xfId="120" xr:uid="{D5AD58BC-5EFC-45ED-8124-7A4803DB9A52}"/>
    <cellStyle name="표준 4 3 3" xfId="116" xr:uid="{4F45FE3D-DD5A-4A6C-9736-47ACD05C3695}"/>
    <cellStyle name="표준 4 4" xfId="95" xr:uid="{299EE946-CDCB-4230-BF74-5A17D4E23758}"/>
    <cellStyle name="표준 5" xfId="8" xr:uid="{00000000-0005-0000-0000-000049000000}"/>
    <cellStyle name="표준 5 2" xfId="9" xr:uid="{00000000-0005-0000-0000-00004A000000}"/>
    <cellStyle name="표준 5 2 2" xfId="98" xr:uid="{4EFA453D-CD7B-4408-B99E-95838FDD631E}"/>
    <cellStyle name="표준 5 3" xfId="97" xr:uid="{A9DB90CD-63F5-4DE5-8ABB-F17A8F168785}"/>
    <cellStyle name="표준 6" xfId="10" xr:uid="{00000000-0005-0000-0000-00004B000000}"/>
    <cellStyle name="표준 6 2" xfId="11" xr:uid="{00000000-0005-0000-0000-00004C000000}"/>
    <cellStyle name="표준 6 2 2" xfId="100" xr:uid="{1F99C438-3635-4613-9DAA-2E767B9BEBAC}"/>
    <cellStyle name="표준 6 3" xfId="99" xr:uid="{F2DF2A68-DED8-4132-9EEC-5A43C723AD2C}"/>
    <cellStyle name="표준 7" xfId="13" xr:uid="{00000000-0005-0000-0000-00004D000000}"/>
    <cellStyle name="표준 7 2" xfId="64" xr:uid="{00000000-0005-0000-0000-00004E000000}"/>
    <cellStyle name="표준 7 2 2" xfId="105" xr:uid="{9C8EA5DD-86E8-4B32-BB39-A8DFCB7E55AF}"/>
    <cellStyle name="표준 7 3" xfId="66" xr:uid="{00000000-0005-0000-0000-00004F000000}"/>
    <cellStyle name="표준 7 3 2" xfId="107" xr:uid="{B486DA2C-0E01-4510-9E6D-98A94C98D474}"/>
    <cellStyle name="표준 7 4" xfId="68" xr:uid="{00000000-0005-0000-0000-000050000000}"/>
    <cellStyle name="표준 7 4 2" xfId="109" xr:uid="{C0CC2F70-F9EB-46DF-971D-1B26561ADC00}"/>
    <cellStyle name="표준 7 5" xfId="71" xr:uid="{00000000-0005-0000-0000-000051000000}"/>
    <cellStyle name="표준 7 5 2" xfId="111" xr:uid="{FE579E43-421F-4378-A588-D87153EF1352}"/>
    <cellStyle name="표준 7 6" xfId="73" xr:uid="{00000000-0005-0000-0000-000052000000}"/>
    <cellStyle name="표준 7 6 2" xfId="113" xr:uid="{3043C16D-A8EB-4CE6-8730-8C643B68AFF3}"/>
    <cellStyle name="표준 7 7" xfId="75" xr:uid="{00000000-0005-0000-0000-000053000000}"/>
    <cellStyle name="표준 7 7 2" xfId="115" xr:uid="{84E774BE-64AE-4F14-94B6-0D312A721304}"/>
    <cellStyle name="표준 7 8" xfId="101" xr:uid="{5DFBD856-F0E9-4FF6-A9C7-C0D9ADC8CB96}"/>
    <cellStyle name="표준 8" xfId="63" xr:uid="{00000000-0005-0000-0000-000054000000}"/>
    <cellStyle name="표준 8 2" xfId="104" xr:uid="{8E458DA6-541C-4D8B-A1DB-CAE0813819DC}"/>
    <cellStyle name="표준 9" xfId="65" xr:uid="{00000000-0005-0000-0000-000055000000}"/>
    <cellStyle name="표준 9 2" xfId="106" xr:uid="{6364BD38-6DB6-41E3-B158-24BDA7837F85}"/>
    <cellStyle name="하이퍼링크" xfId="12" builtinId="8"/>
    <cellStyle name="합계" xfId="62" xr:uid="{00000000-0005-0000-0000-000057000000}"/>
    <cellStyle name="합계 2" xfId="103" xr:uid="{AA06B40D-72A2-4EBC-941A-C1B9F821D5CE}"/>
  </cellStyles>
  <dxfs count="0"/>
  <tableStyles count="0" defaultTableStyle="TableStyleMedium9" defaultPivotStyle="PivotStyleLight16"/>
  <colors>
    <mruColors>
      <color rgb="FF99FF99"/>
      <color rgb="FFFF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15"/>
  <sheetViews>
    <sheetView zoomScaleNormal="100" workbookViewId="0">
      <selection activeCell="E13" sqref="E13"/>
    </sheetView>
  </sheetViews>
  <sheetFormatPr defaultColWidth="9" defaultRowHeight="16.5"/>
  <cols>
    <col min="1" max="1" width="1.625" style="78" customWidth="1"/>
    <col min="2" max="2" width="4.375" style="79" bestFit="1" customWidth="1"/>
    <col min="3" max="3" width="5.625" style="79" customWidth="1"/>
    <col min="4" max="4" width="11.125" style="79" bestFit="1" customWidth="1"/>
    <col min="5" max="5" width="45.875" style="79" customWidth="1"/>
    <col min="6" max="7" width="10.625" style="79" customWidth="1"/>
    <col min="8" max="8" width="1.625" style="78" customWidth="1"/>
    <col min="9" max="16384" width="9" style="78"/>
  </cols>
  <sheetData>
    <row r="1" spans="2:7" ht="9.9499999999999993" customHeight="1"/>
    <row r="2" spans="2:7" ht="20.25">
      <c r="B2" s="189" t="s">
        <v>0</v>
      </c>
      <c r="C2" s="189"/>
      <c r="D2" s="189"/>
      <c r="E2" s="189"/>
      <c r="F2" s="189"/>
      <c r="G2" s="189"/>
    </row>
    <row r="3" spans="2:7" ht="17.25" thickBot="1">
      <c r="B3" s="190" t="s">
        <v>1</v>
      </c>
      <c r="C3" s="190"/>
      <c r="D3" s="190"/>
      <c r="E3" s="190"/>
      <c r="F3" s="190"/>
      <c r="G3" s="190"/>
    </row>
    <row r="4" spans="2:7">
      <c r="B4" s="64" t="s">
        <v>2</v>
      </c>
      <c r="C4" s="65" t="s">
        <v>3</v>
      </c>
      <c r="D4" s="65" t="s">
        <v>4</v>
      </c>
      <c r="E4" s="66" t="s">
        <v>5</v>
      </c>
      <c r="F4" s="65" t="s">
        <v>6</v>
      </c>
      <c r="G4" s="67" t="s">
        <v>7</v>
      </c>
    </row>
    <row r="5" spans="2:7">
      <c r="B5" s="68">
        <v>1</v>
      </c>
      <c r="C5" s="69">
        <v>1</v>
      </c>
      <c r="D5" s="70">
        <v>42040</v>
      </c>
      <c r="E5" s="80" t="s">
        <v>8</v>
      </c>
      <c r="F5" s="71" t="s">
        <v>9</v>
      </c>
      <c r="G5" s="72"/>
    </row>
    <row r="6" spans="2:7" ht="40.5">
      <c r="B6" s="68">
        <v>2</v>
      </c>
      <c r="C6" s="69">
        <v>1.01</v>
      </c>
      <c r="D6" s="70">
        <v>42041</v>
      </c>
      <c r="E6" s="81" t="s">
        <v>10</v>
      </c>
      <c r="F6" s="71" t="s">
        <v>9</v>
      </c>
      <c r="G6" s="72"/>
    </row>
    <row r="7" spans="2:7" ht="108">
      <c r="B7" s="68">
        <v>3</v>
      </c>
      <c r="C7" s="69">
        <v>1.02</v>
      </c>
      <c r="D7" s="86">
        <v>42046</v>
      </c>
      <c r="E7" s="81" t="s">
        <v>11</v>
      </c>
      <c r="F7" s="71" t="s">
        <v>12</v>
      </c>
      <c r="G7" s="73"/>
    </row>
    <row r="8" spans="2:7">
      <c r="B8" s="68">
        <v>4</v>
      </c>
      <c r="C8" s="87">
        <v>1.5</v>
      </c>
      <c r="D8" s="70">
        <v>42096</v>
      </c>
      <c r="E8" s="80" t="s">
        <v>13</v>
      </c>
      <c r="F8" s="71" t="s">
        <v>12</v>
      </c>
      <c r="G8" s="72" t="s">
        <v>14</v>
      </c>
    </row>
    <row r="9" spans="2:7">
      <c r="B9" s="68">
        <v>5</v>
      </c>
      <c r="C9" s="87">
        <v>1.6</v>
      </c>
      <c r="D9" s="70">
        <v>42139</v>
      </c>
      <c r="E9" s="80" t="s">
        <v>15</v>
      </c>
      <c r="F9" s="71" t="s">
        <v>12</v>
      </c>
      <c r="G9" s="72" t="s">
        <v>14</v>
      </c>
    </row>
    <row r="10" spans="2:7">
      <c r="B10" s="68">
        <v>6</v>
      </c>
      <c r="C10" s="87">
        <v>1.61</v>
      </c>
      <c r="D10" s="70">
        <v>42311</v>
      </c>
      <c r="E10" s="80" t="s">
        <v>16</v>
      </c>
      <c r="F10" s="71" t="s">
        <v>12</v>
      </c>
      <c r="G10" s="72" t="s">
        <v>14</v>
      </c>
    </row>
    <row r="11" spans="2:7">
      <c r="B11" s="68">
        <v>7</v>
      </c>
      <c r="C11" s="89">
        <v>1.63</v>
      </c>
      <c r="D11" s="70">
        <v>42383</v>
      </c>
      <c r="E11" s="90" t="s">
        <v>17</v>
      </c>
      <c r="F11" s="71" t="s">
        <v>12</v>
      </c>
      <c r="G11" s="73"/>
    </row>
    <row r="12" spans="2:7" ht="27">
      <c r="B12" s="68">
        <v>8</v>
      </c>
      <c r="C12" s="89">
        <v>1.71</v>
      </c>
      <c r="D12" s="91">
        <v>42709</v>
      </c>
      <c r="E12" s="90" t="s">
        <v>18</v>
      </c>
      <c r="F12" s="71" t="s">
        <v>19</v>
      </c>
      <c r="G12" s="73"/>
    </row>
    <row r="13" spans="2:7" ht="40.5">
      <c r="B13" s="68">
        <v>9</v>
      </c>
      <c r="C13" s="87">
        <v>2</v>
      </c>
      <c r="D13" s="91">
        <v>43185</v>
      </c>
      <c r="E13" s="81" t="s">
        <v>20</v>
      </c>
      <c r="F13" s="71" t="s">
        <v>21</v>
      </c>
      <c r="G13" s="72" t="s">
        <v>14</v>
      </c>
    </row>
    <row r="14" spans="2:7" ht="17.25" thickBot="1">
      <c r="B14" s="74">
        <v>10</v>
      </c>
      <c r="C14" s="75"/>
      <c r="D14" s="76"/>
      <c r="E14" s="82"/>
      <c r="F14" s="76"/>
      <c r="G14" s="77"/>
    </row>
    <row r="15" spans="2:7" ht="9.9499999999999993" customHeight="1"/>
  </sheetData>
  <mergeCells count="2">
    <mergeCell ref="B2:G2"/>
    <mergeCell ref="B3:G3"/>
  </mergeCells>
  <phoneticPr fontId="28" type="noConversion"/>
  <pageMargins left="0.70866141732283472" right="0.70866141732283472" top="0.74803149606299213" bottom="0.74803149606299213" header="0.31496062992125984" footer="0.31496062992125984"/>
  <pageSetup paperSize="9" scale="87" fitToHeight="10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O147"/>
  <sheetViews>
    <sheetView tabSelected="1" zoomScale="85" zoomScaleNormal="85" zoomScaleSheetLayoutView="85" workbookViewId="0">
      <pane ySplit="8" topLeftCell="A53" activePane="bottomLeft" state="frozenSplit"/>
      <selection activeCell="B1" sqref="B1"/>
      <selection pane="bottomLeft" activeCell="E77" sqref="E77"/>
    </sheetView>
  </sheetViews>
  <sheetFormatPr defaultColWidth="9" defaultRowHeight="16.5"/>
  <cols>
    <col min="1" max="1" width="1.625" style="2" customWidth="1"/>
    <col min="2" max="2" width="13.875" style="2" customWidth="1"/>
    <col min="3" max="3" width="7.5" style="2" bestFit="1" customWidth="1"/>
    <col min="4" max="4" width="20.625" style="2" customWidth="1"/>
    <col min="5" max="5" width="11.5" style="2" bestFit="1" customWidth="1"/>
    <col min="6" max="6" width="26.875" style="2" bestFit="1" customWidth="1"/>
    <col min="7" max="7" width="21.625" style="2" bestFit="1" customWidth="1"/>
    <col min="8" max="8" width="7.125" style="22" customWidth="1"/>
    <col min="9" max="9" width="1.625" style="1" customWidth="1"/>
    <col min="10" max="10" width="10.625" style="2" customWidth="1"/>
    <col min="11" max="11" width="12.625" style="2" customWidth="1"/>
    <col min="12" max="12" width="20.625" style="2" customWidth="1"/>
    <col min="13" max="13" width="65.625" style="2" customWidth="1"/>
    <col min="14" max="14" width="15.625" style="2" customWidth="1"/>
    <col min="15" max="15" width="9.375" style="2" bestFit="1" customWidth="1"/>
    <col min="16" max="16384" width="9" style="2"/>
  </cols>
  <sheetData>
    <row r="1" spans="2:15" ht="9.9499999999999993" customHeight="1" thickBot="1"/>
    <row r="2" spans="2:15" ht="31.5">
      <c r="B2" s="173" t="s">
        <v>338</v>
      </c>
      <c r="C2" s="174"/>
      <c r="D2" s="174"/>
      <c r="E2" s="174"/>
      <c r="F2" s="174"/>
      <c r="G2" s="174"/>
      <c r="H2" s="175"/>
      <c r="K2" s="123"/>
      <c r="L2" s="123"/>
      <c r="M2" s="123"/>
      <c r="N2" s="123"/>
    </row>
    <row r="3" spans="2:15" ht="5.0999999999999996" customHeight="1" thickBot="1">
      <c r="B3" s="3"/>
      <c r="C3" s="4"/>
      <c r="D3" s="4"/>
      <c r="E3" s="4"/>
      <c r="F3" s="4"/>
      <c r="G3" s="4"/>
      <c r="H3" s="5"/>
      <c r="J3" s="123"/>
      <c r="K3" s="123"/>
      <c r="L3" s="123"/>
      <c r="M3" s="123"/>
      <c r="N3" s="123"/>
    </row>
    <row r="4" spans="2:15" ht="22.5" customHeight="1">
      <c r="B4" s="27" t="s">
        <v>22</v>
      </c>
      <c r="C4" s="179" t="s">
        <v>23</v>
      </c>
      <c r="D4" s="180"/>
      <c r="E4" s="180"/>
      <c r="F4" s="88" t="s">
        <v>24</v>
      </c>
      <c r="G4" s="179"/>
      <c r="H4" s="181"/>
      <c r="J4" s="182" t="s">
        <v>25</v>
      </c>
      <c r="K4" s="183"/>
      <c r="L4" s="183"/>
      <c r="M4" s="183"/>
      <c r="N4" s="184"/>
    </row>
    <row r="5" spans="2:15" ht="22.5" customHeight="1" thickBot="1">
      <c r="B5" s="27" t="s">
        <v>26</v>
      </c>
      <c r="C5" s="176" t="s">
        <v>336</v>
      </c>
      <c r="D5" s="177"/>
      <c r="E5" s="177"/>
      <c r="F5" s="177"/>
      <c r="G5" s="177"/>
      <c r="H5" s="178"/>
      <c r="J5" s="185"/>
      <c r="K5" s="186"/>
      <c r="L5" s="186"/>
      <c r="M5" s="186"/>
      <c r="N5" s="187"/>
    </row>
    <row r="6" spans="2:15" ht="5.0999999999999996" customHeight="1">
      <c r="B6" s="6"/>
      <c r="C6" s="7"/>
      <c r="D6" s="7"/>
      <c r="E6" s="7"/>
      <c r="F6" s="7"/>
      <c r="G6" s="7"/>
      <c r="H6" s="8"/>
    </row>
    <row r="7" spans="2:15" ht="5.0999999999999996" customHeight="1" thickBot="1">
      <c r="B7" s="6"/>
      <c r="C7" s="7"/>
      <c r="D7" s="7"/>
      <c r="E7" s="7"/>
      <c r="F7" s="7"/>
      <c r="G7" s="7"/>
      <c r="H7" s="8"/>
    </row>
    <row r="8" spans="2:15" ht="17.25" thickBot="1">
      <c r="B8" s="9" t="s">
        <v>27</v>
      </c>
      <c r="C8" s="10" t="s">
        <v>28</v>
      </c>
      <c r="D8" s="11" t="s">
        <v>29</v>
      </c>
      <c r="E8" s="11" t="s">
        <v>30</v>
      </c>
      <c r="F8" s="11" t="s">
        <v>31</v>
      </c>
      <c r="G8" s="11" t="s">
        <v>32</v>
      </c>
      <c r="H8" s="12" t="s">
        <v>33</v>
      </c>
      <c r="I8" s="13"/>
      <c r="J8" s="26" t="s">
        <v>34</v>
      </c>
      <c r="K8" s="24" t="s">
        <v>35</v>
      </c>
      <c r="L8" s="24" t="s">
        <v>36</v>
      </c>
      <c r="M8" s="24" t="s">
        <v>37</v>
      </c>
      <c r="N8" s="25" t="s">
        <v>38</v>
      </c>
    </row>
    <row r="9" spans="2:15" ht="17.25" thickTop="1">
      <c r="B9" s="153" t="s">
        <v>339</v>
      </c>
      <c r="C9" s="84">
        <v>10</v>
      </c>
      <c r="D9" s="83" t="str">
        <f>+VLOOKUP($C9,$J$9:$L$76,3,FALSE)</f>
        <v>회의식대</v>
      </c>
      <c r="E9" s="154">
        <v>10000</v>
      </c>
      <c r="F9" s="160" t="s">
        <v>337</v>
      </c>
      <c r="G9" s="85" t="s">
        <v>334</v>
      </c>
      <c r="H9" s="157" t="s">
        <v>335</v>
      </c>
      <c r="J9" s="117">
        <v>1</v>
      </c>
      <c r="K9" s="188" t="s">
        <v>39</v>
      </c>
      <c r="L9" s="103" t="s">
        <v>40</v>
      </c>
      <c r="M9" s="28" t="s">
        <v>41</v>
      </c>
      <c r="N9" s="112">
        <f t="shared" ref="N9" si="0">+SUMIF($D$10:$D$76,$L9,$E$10:$E$76)</f>
        <v>0</v>
      </c>
    </row>
    <row r="10" spans="2:15">
      <c r="B10" s="153" t="s">
        <v>340</v>
      </c>
      <c r="C10" s="84">
        <v>10</v>
      </c>
      <c r="D10" s="83" t="str">
        <f>+VLOOKUP($C10,$J$9:$L$76,3,FALSE)</f>
        <v>회의식대</v>
      </c>
      <c r="E10" s="154">
        <v>9400</v>
      </c>
      <c r="F10" s="160" t="s">
        <v>337</v>
      </c>
      <c r="G10" s="85" t="s">
        <v>334</v>
      </c>
      <c r="H10" s="157" t="s">
        <v>335</v>
      </c>
      <c r="J10" s="105">
        <v>2</v>
      </c>
      <c r="K10" s="166"/>
      <c r="L10" s="106" t="s">
        <v>42</v>
      </c>
      <c r="M10" s="29" t="s">
        <v>43</v>
      </c>
      <c r="N10" s="112">
        <f t="shared" ref="N10:N40" si="1">+SUMIF($D$10:$D$76,$L10,$E$10:$E$76)</f>
        <v>0</v>
      </c>
      <c r="O10" s="14"/>
    </row>
    <row r="11" spans="2:15">
      <c r="B11" s="153" t="s">
        <v>341</v>
      </c>
      <c r="C11" s="84">
        <v>10</v>
      </c>
      <c r="D11" s="83" t="str">
        <f t="shared" ref="D11:D13" si="2">+VLOOKUP($C11,$J$9:$L$76,3,FALSE)</f>
        <v>회의식대</v>
      </c>
      <c r="E11" s="154">
        <v>9800</v>
      </c>
      <c r="F11" s="160" t="s">
        <v>337</v>
      </c>
      <c r="G11" s="85" t="s">
        <v>334</v>
      </c>
      <c r="H11" s="157" t="s">
        <v>335</v>
      </c>
      <c r="J11" s="105">
        <v>3</v>
      </c>
      <c r="K11" s="166"/>
      <c r="L11" s="106" t="s">
        <v>44</v>
      </c>
      <c r="M11" s="29" t="s">
        <v>45</v>
      </c>
      <c r="N11" s="112">
        <f t="shared" si="1"/>
        <v>0</v>
      </c>
    </row>
    <row r="12" spans="2:15">
      <c r="B12" s="153" t="s">
        <v>342</v>
      </c>
      <c r="C12" s="84">
        <v>10</v>
      </c>
      <c r="D12" s="83" t="str">
        <f t="shared" si="2"/>
        <v>회의식대</v>
      </c>
      <c r="E12" s="154">
        <v>10000</v>
      </c>
      <c r="F12" s="160" t="s">
        <v>337</v>
      </c>
      <c r="G12" s="85" t="s">
        <v>334</v>
      </c>
      <c r="H12" s="157" t="s">
        <v>335</v>
      </c>
      <c r="J12" s="105">
        <v>4</v>
      </c>
      <c r="K12" s="166"/>
      <c r="L12" s="106" t="s">
        <v>46</v>
      </c>
      <c r="M12" s="29" t="s">
        <v>47</v>
      </c>
      <c r="N12" s="112">
        <f t="shared" si="1"/>
        <v>0</v>
      </c>
    </row>
    <row r="13" spans="2:15">
      <c r="B13" s="153" t="s">
        <v>343</v>
      </c>
      <c r="C13" s="84">
        <v>10</v>
      </c>
      <c r="D13" s="83" t="str">
        <f t="shared" si="2"/>
        <v>회의식대</v>
      </c>
      <c r="E13" s="154">
        <v>10000</v>
      </c>
      <c r="F13" s="160" t="s">
        <v>337</v>
      </c>
      <c r="G13" s="85" t="s">
        <v>334</v>
      </c>
      <c r="H13" s="157" t="s">
        <v>335</v>
      </c>
      <c r="J13" s="105">
        <v>5</v>
      </c>
      <c r="K13" s="167"/>
      <c r="L13" s="106" t="s">
        <v>48</v>
      </c>
      <c r="M13" s="29" t="s">
        <v>49</v>
      </c>
      <c r="N13" s="112">
        <f t="shared" si="1"/>
        <v>0</v>
      </c>
    </row>
    <row r="14" spans="2:15">
      <c r="B14" s="153" t="s">
        <v>345</v>
      </c>
      <c r="C14" s="84">
        <v>65</v>
      </c>
      <c r="D14" s="83" t="str">
        <f>+VLOOKUP($C14,$J$9:$L$76,3,FALSE)</f>
        <v>재료비</v>
      </c>
      <c r="E14" s="154">
        <v>33543</v>
      </c>
      <c r="F14" s="161" t="s">
        <v>346</v>
      </c>
      <c r="G14" s="85" t="s">
        <v>334</v>
      </c>
      <c r="H14" s="157" t="s">
        <v>335</v>
      </c>
      <c r="J14" s="105">
        <v>6</v>
      </c>
      <c r="K14" s="165" t="s">
        <v>50</v>
      </c>
      <c r="L14" s="106" t="s">
        <v>51</v>
      </c>
      <c r="M14" s="28" t="s">
        <v>52</v>
      </c>
      <c r="N14" s="112">
        <f t="shared" si="1"/>
        <v>0</v>
      </c>
    </row>
    <row r="15" spans="2:15">
      <c r="B15" s="153" t="s">
        <v>344</v>
      </c>
      <c r="C15" s="84">
        <v>10</v>
      </c>
      <c r="D15" s="83" t="str">
        <f>+VLOOKUP($C15,$J$9:$L$76,3,FALSE)</f>
        <v>회의식대</v>
      </c>
      <c r="E15" s="154">
        <v>10000</v>
      </c>
      <c r="F15" s="160" t="s">
        <v>337</v>
      </c>
      <c r="G15" s="85" t="s">
        <v>334</v>
      </c>
      <c r="H15" s="157" t="s">
        <v>335</v>
      </c>
      <c r="J15" s="105">
        <v>7</v>
      </c>
      <c r="K15" s="166"/>
      <c r="L15" s="106" t="s">
        <v>53</v>
      </c>
      <c r="M15" s="28" t="s">
        <v>52</v>
      </c>
      <c r="N15" s="112">
        <f t="shared" si="1"/>
        <v>0</v>
      </c>
    </row>
    <row r="16" spans="2:15">
      <c r="B16" s="153" t="s">
        <v>347</v>
      </c>
      <c r="C16" s="84">
        <v>10</v>
      </c>
      <c r="D16" s="83" t="str">
        <f>+VLOOKUP($C16,$J$9:$L$76,3,FALSE)</f>
        <v>회의식대</v>
      </c>
      <c r="E16" s="154">
        <v>10000</v>
      </c>
      <c r="F16" s="160" t="s">
        <v>337</v>
      </c>
      <c r="G16" s="85" t="s">
        <v>334</v>
      </c>
      <c r="H16" s="157" t="s">
        <v>335</v>
      </c>
      <c r="J16" s="105">
        <v>8</v>
      </c>
      <c r="K16" s="167"/>
      <c r="L16" s="106" t="s">
        <v>54</v>
      </c>
      <c r="M16" s="28" t="s">
        <v>52</v>
      </c>
      <c r="N16" s="112">
        <f t="shared" si="1"/>
        <v>0</v>
      </c>
    </row>
    <row r="17" spans="2:14">
      <c r="B17" s="153" t="s">
        <v>348</v>
      </c>
      <c r="C17" s="84">
        <v>10</v>
      </c>
      <c r="D17" s="83" t="str">
        <f>+VLOOKUP($C17,$J$9:$L$76,3,FALSE)</f>
        <v>회의식대</v>
      </c>
      <c r="E17" s="154">
        <v>10000</v>
      </c>
      <c r="F17" s="160" t="s">
        <v>337</v>
      </c>
      <c r="G17" s="85" t="s">
        <v>334</v>
      </c>
      <c r="H17" s="157" t="s">
        <v>335</v>
      </c>
      <c r="J17" s="105">
        <v>9</v>
      </c>
      <c r="K17" s="165" t="s">
        <v>55</v>
      </c>
      <c r="L17" s="106" t="s">
        <v>56</v>
      </c>
      <c r="M17" s="29" t="s">
        <v>57</v>
      </c>
      <c r="N17" s="112">
        <f t="shared" si="1"/>
        <v>0</v>
      </c>
    </row>
    <row r="18" spans="2:14">
      <c r="B18" s="153" t="s">
        <v>358</v>
      </c>
      <c r="C18" s="84">
        <v>65</v>
      </c>
      <c r="D18" s="83" t="str">
        <f>+VLOOKUP($C18,$J$9:$L$76,3,FALSE)</f>
        <v>재료비</v>
      </c>
      <c r="E18" s="154">
        <v>29000</v>
      </c>
      <c r="F18" s="161" t="s">
        <v>350</v>
      </c>
      <c r="G18" s="85" t="s">
        <v>334</v>
      </c>
      <c r="H18" s="157" t="s">
        <v>335</v>
      </c>
      <c r="J18" s="105">
        <v>10</v>
      </c>
      <c r="K18" s="166"/>
      <c r="L18" s="106" t="s">
        <v>58</v>
      </c>
      <c r="M18" s="29" t="s">
        <v>59</v>
      </c>
      <c r="N18" s="112">
        <f t="shared" si="1"/>
        <v>127200</v>
      </c>
    </row>
    <row r="19" spans="2:14">
      <c r="B19" s="153" t="s">
        <v>349</v>
      </c>
      <c r="C19" s="84">
        <v>10</v>
      </c>
      <c r="D19" s="83" t="str">
        <f t="shared" ref="D19:D20" si="3">+VLOOKUP($C19,$J$9:$L$76,3,FALSE)</f>
        <v>회의식대</v>
      </c>
      <c r="E19" s="154">
        <v>10000</v>
      </c>
      <c r="F19" s="160" t="s">
        <v>337</v>
      </c>
      <c r="G19" s="85" t="s">
        <v>334</v>
      </c>
      <c r="H19" s="157" t="s">
        <v>335</v>
      </c>
      <c r="J19" s="105">
        <v>11</v>
      </c>
      <c r="K19" s="166"/>
      <c r="L19" s="106" t="s">
        <v>60</v>
      </c>
      <c r="M19" s="29" t="s">
        <v>61</v>
      </c>
      <c r="N19" s="112">
        <f t="shared" si="1"/>
        <v>0</v>
      </c>
    </row>
    <row r="20" spans="2:14">
      <c r="B20" s="153" t="s">
        <v>359</v>
      </c>
      <c r="C20" s="84">
        <v>10</v>
      </c>
      <c r="D20" s="83" t="str">
        <f t="shared" si="3"/>
        <v>회의식대</v>
      </c>
      <c r="E20" s="154">
        <v>10000</v>
      </c>
      <c r="F20" s="160" t="s">
        <v>337</v>
      </c>
      <c r="G20" s="85" t="s">
        <v>334</v>
      </c>
      <c r="H20" s="157" t="s">
        <v>335</v>
      </c>
      <c r="J20" s="105">
        <v>12</v>
      </c>
      <c r="K20" s="167"/>
      <c r="L20" s="106" t="s">
        <v>62</v>
      </c>
      <c r="M20" s="29" t="s">
        <v>63</v>
      </c>
      <c r="N20" s="112">
        <f t="shared" si="1"/>
        <v>0</v>
      </c>
    </row>
    <row r="21" spans="2:14">
      <c r="B21" s="153" t="s">
        <v>351</v>
      </c>
      <c r="C21" s="84">
        <v>48</v>
      </c>
      <c r="D21" s="83" t="str">
        <f t="shared" ref="D21:D26" si="4">+VLOOKUP($C21,$J$9:$L$76,3,FALSE)</f>
        <v>사무용품비</v>
      </c>
      <c r="E21" s="154">
        <v>4500</v>
      </c>
      <c r="F21" s="161" t="s">
        <v>354</v>
      </c>
      <c r="G21" s="85" t="s">
        <v>334</v>
      </c>
      <c r="H21" s="157" t="s">
        <v>335</v>
      </c>
      <c r="J21" s="105">
        <v>13</v>
      </c>
      <c r="K21" s="165" t="s">
        <v>64</v>
      </c>
      <c r="L21" s="106" t="s">
        <v>65</v>
      </c>
      <c r="M21" s="29" t="s">
        <v>66</v>
      </c>
      <c r="N21" s="112">
        <f t="shared" si="1"/>
        <v>0</v>
      </c>
    </row>
    <row r="22" spans="2:14">
      <c r="B22" s="153" t="s">
        <v>352</v>
      </c>
      <c r="C22" s="84">
        <v>10</v>
      </c>
      <c r="D22" s="83" t="str">
        <f t="shared" si="4"/>
        <v>회의식대</v>
      </c>
      <c r="E22" s="154">
        <v>10000</v>
      </c>
      <c r="F22" s="160" t="s">
        <v>337</v>
      </c>
      <c r="G22" s="85" t="s">
        <v>334</v>
      </c>
      <c r="H22" s="157" t="s">
        <v>335</v>
      </c>
      <c r="J22" s="105">
        <v>14</v>
      </c>
      <c r="K22" s="166"/>
      <c r="L22" s="106" t="s">
        <v>67</v>
      </c>
      <c r="M22" s="29" t="s">
        <v>67</v>
      </c>
      <c r="N22" s="112">
        <f t="shared" si="1"/>
        <v>0</v>
      </c>
    </row>
    <row r="23" spans="2:14">
      <c r="B23" s="153" t="s">
        <v>353</v>
      </c>
      <c r="C23" s="84">
        <v>36</v>
      </c>
      <c r="D23" s="83" t="str">
        <f t="shared" si="4"/>
        <v>인쇄비</v>
      </c>
      <c r="E23" s="154">
        <v>25000</v>
      </c>
      <c r="F23" s="161" t="s">
        <v>355</v>
      </c>
      <c r="G23" s="85" t="s">
        <v>334</v>
      </c>
      <c r="H23" s="157" t="s">
        <v>335</v>
      </c>
      <c r="J23" s="105">
        <v>15</v>
      </c>
      <c r="K23" s="166"/>
      <c r="L23" s="106" t="s">
        <v>68</v>
      </c>
      <c r="M23" s="29" t="s">
        <v>69</v>
      </c>
      <c r="N23" s="112">
        <f t="shared" si="1"/>
        <v>0</v>
      </c>
    </row>
    <row r="24" spans="2:14">
      <c r="B24" s="153" t="s">
        <v>353</v>
      </c>
      <c r="C24" s="84">
        <v>10</v>
      </c>
      <c r="D24" s="83" t="str">
        <f t="shared" si="4"/>
        <v>회의식대</v>
      </c>
      <c r="E24" s="154">
        <v>8000</v>
      </c>
      <c r="F24" s="160" t="s">
        <v>337</v>
      </c>
      <c r="G24" s="85" t="s">
        <v>334</v>
      </c>
      <c r="H24" s="157" t="s">
        <v>335</v>
      </c>
      <c r="J24" s="105">
        <v>16</v>
      </c>
      <c r="K24" s="166"/>
      <c r="L24" s="106" t="s">
        <v>70</v>
      </c>
      <c r="M24" s="29" t="s">
        <v>71</v>
      </c>
      <c r="N24" s="112">
        <f t="shared" si="1"/>
        <v>0</v>
      </c>
    </row>
    <row r="25" spans="2:14">
      <c r="B25" s="153" t="s">
        <v>356</v>
      </c>
      <c r="C25" s="84">
        <v>10</v>
      </c>
      <c r="D25" s="83" t="str">
        <f t="shared" si="4"/>
        <v>회의식대</v>
      </c>
      <c r="E25" s="154">
        <v>10000</v>
      </c>
      <c r="F25" s="160" t="s">
        <v>337</v>
      </c>
      <c r="G25" s="85" t="s">
        <v>334</v>
      </c>
      <c r="H25" s="157" t="s">
        <v>335</v>
      </c>
      <c r="J25" s="105">
        <v>17</v>
      </c>
      <c r="K25" s="166"/>
      <c r="L25" s="106" t="s">
        <v>72</v>
      </c>
      <c r="M25" s="29" t="s">
        <v>73</v>
      </c>
      <c r="N25" s="112">
        <f t="shared" si="1"/>
        <v>0</v>
      </c>
    </row>
    <row r="26" spans="2:14">
      <c r="B26" s="153" t="s">
        <v>357</v>
      </c>
      <c r="C26" s="84">
        <v>10</v>
      </c>
      <c r="D26" s="83" t="str">
        <f t="shared" si="4"/>
        <v>회의식대</v>
      </c>
      <c r="E26" s="154">
        <v>10000</v>
      </c>
      <c r="F26" s="160" t="s">
        <v>337</v>
      </c>
      <c r="G26" s="85" t="s">
        <v>334</v>
      </c>
      <c r="H26" s="157" t="s">
        <v>335</v>
      </c>
      <c r="J26" s="105">
        <v>18</v>
      </c>
      <c r="K26" s="166"/>
      <c r="L26" s="106" t="s">
        <v>74</v>
      </c>
      <c r="M26" s="29" t="s">
        <v>75</v>
      </c>
      <c r="N26" s="112">
        <f t="shared" si="1"/>
        <v>0</v>
      </c>
    </row>
    <row r="27" spans="2:14">
      <c r="B27" s="153"/>
      <c r="C27" s="84"/>
      <c r="D27" s="83"/>
      <c r="E27" s="154"/>
      <c r="F27" s="159"/>
      <c r="G27" s="85"/>
      <c r="H27" s="157"/>
      <c r="J27" s="105">
        <v>19</v>
      </c>
      <c r="K27" s="166"/>
      <c r="L27" s="106" t="s">
        <v>76</v>
      </c>
      <c r="M27" s="29" t="s">
        <v>77</v>
      </c>
      <c r="N27" s="112">
        <f t="shared" si="1"/>
        <v>0</v>
      </c>
    </row>
    <row r="28" spans="2:14">
      <c r="B28" s="153"/>
      <c r="C28" s="84"/>
      <c r="D28" s="83"/>
      <c r="E28" s="154"/>
      <c r="F28" s="160"/>
      <c r="G28" s="85"/>
      <c r="H28" s="157"/>
      <c r="J28" s="105">
        <v>20</v>
      </c>
      <c r="K28" s="167"/>
      <c r="L28" s="106" t="s">
        <v>78</v>
      </c>
      <c r="M28" s="29" t="s">
        <v>79</v>
      </c>
      <c r="N28" s="112">
        <f t="shared" si="1"/>
        <v>0</v>
      </c>
    </row>
    <row r="29" spans="2:14">
      <c r="B29" s="153"/>
      <c r="C29" s="84"/>
      <c r="D29" s="83"/>
      <c r="E29" s="154"/>
      <c r="F29" s="159"/>
      <c r="G29" s="85"/>
      <c r="H29" s="157"/>
      <c r="J29" s="105">
        <v>21</v>
      </c>
      <c r="K29" s="165" t="s">
        <v>80</v>
      </c>
      <c r="L29" s="106" t="s">
        <v>81</v>
      </c>
      <c r="M29" s="29" t="s">
        <v>82</v>
      </c>
      <c r="N29" s="112">
        <f t="shared" si="1"/>
        <v>0</v>
      </c>
    </row>
    <row r="30" spans="2:14">
      <c r="B30" s="153"/>
      <c r="C30" s="84"/>
      <c r="D30" s="83"/>
      <c r="E30" s="154"/>
      <c r="F30" s="155"/>
      <c r="G30" s="85"/>
      <c r="H30" s="157"/>
      <c r="J30" s="105">
        <v>22</v>
      </c>
      <c r="K30" s="166"/>
      <c r="L30" s="106" t="s">
        <v>83</v>
      </c>
      <c r="M30" s="29" t="s">
        <v>84</v>
      </c>
      <c r="N30" s="112">
        <f t="shared" si="1"/>
        <v>0</v>
      </c>
    </row>
    <row r="31" spans="2:14">
      <c r="B31" s="153"/>
      <c r="C31" s="84"/>
      <c r="D31" s="83"/>
      <c r="E31" s="154"/>
      <c r="F31" s="155"/>
      <c r="G31" s="85"/>
      <c r="H31" s="157"/>
      <c r="J31" s="105">
        <v>23</v>
      </c>
      <c r="K31" s="166"/>
      <c r="L31" s="106" t="s">
        <v>85</v>
      </c>
      <c r="M31" s="29" t="s">
        <v>86</v>
      </c>
      <c r="N31" s="112">
        <f t="shared" si="1"/>
        <v>0</v>
      </c>
    </row>
    <row r="32" spans="2:14">
      <c r="B32" s="153"/>
      <c r="C32" s="84"/>
      <c r="D32" s="83"/>
      <c r="E32" s="154"/>
      <c r="F32" s="155"/>
      <c r="G32" s="85"/>
      <c r="H32" s="157"/>
      <c r="J32" s="105">
        <v>24</v>
      </c>
      <c r="K32" s="166"/>
      <c r="L32" s="106" t="s">
        <v>87</v>
      </c>
      <c r="M32" s="29" t="s">
        <v>88</v>
      </c>
      <c r="N32" s="112">
        <f t="shared" si="1"/>
        <v>0</v>
      </c>
    </row>
    <row r="33" spans="2:14">
      <c r="B33" s="153"/>
      <c r="C33" s="84"/>
      <c r="D33" s="83"/>
      <c r="E33" s="154"/>
      <c r="F33" s="155"/>
      <c r="G33" s="85"/>
      <c r="H33" s="157"/>
      <c r="J33" s="105">
        <v>25</v>
      </c>
      <c r="K33" s="166"/>
      <c r="L33" s="106" t="s">
        <v>89</v>
      </c>
      <c r="M33" s="29" t="s">
        <v>90</v>
      </c>
      <c r="N33" s="112">
        <f t="shared" si="1"/>
        <v>0</v>
      </c>
    </row>
    <row r="34" spans="2:14">
      <c r="B34" s="153"/>
      <c r="C34" s="84"/>
      <c r="D34" s="83"/>
      <c r="E34" s="154"/>
      <c r="F34" s="158"/>
      <c r="G34" s="85"/>
      <c r="H34" s="157"/>
      <c r="J34" s="105">
        <v>26</v>
      </c>
      <c r="K34" s="167"/>
      <c r="L34" s="106" t="s">
        <v>91</v>
      </c>
      <c r="M34" s="29" t="s">
        <v>92</v>
      </c>
      <c r="N34" s="112">
        <f t="shared" si="1"/>
        <v>0</v>
      </c>
    </row>
    <row r="35" spans="2:14">
      <c r="B35" s="153"/>
      <c r="C35" s="84"/>
      <c r="D35" s="83"/>
      <c r="E35" s="154"/>
      <c r="F35" s="155"/>
      <c r="G35" s="85"/>
      <c r="H35" s="157"/>
      <c r="J35" s="105">
        <v>27</v>
      </c>
      <c r="K35" s="165" t="s">
        <v>93</v>
      </c>
      <c r="L35" s="106" t="s">
        <v>94</v>
      </c>
      <c r="M35" s="29" t="s">
        <v>95</v>
      </c>
      <c r="N35" s="112">
        <f t="shared" si="1"/>
        <v>0</v>
      </c>
    </row>
    <row r="36" spans="2:14">
      <c r="B36" s="153"/>
      <c r="C36" s="84"/>
      <c r="D36" s="83"/>
      <c r="E36" s="154"/>
      <c r="F36" s="155"/>
      <c r="G36" s="85"/>
      <c r="H36" s="157"/>
      <c r="J36" s="105">
        <v>28</v>
      </c>
      <c r="K36" s="166"/>
      <c r="L36" s="106" t="s">
        <v>96</v>
      </c>
      <c r="M36" s="29" t="s">
        <v>97</v>
      </c>
      <c r="N36" s="112">
        <f t="shared" si="1"/>
        <v>0</v>
      </c>
    </row>
    <row r="37" spans="2:14">
      <c r="B37" s="153"/>
      <c r="C37" s="84"/>
      <c r="D37" s="83"/>
      <c r="E37" s="154"/>
      <c r="F37" s="155"/>
      <c r="G37" s="85"/>
      <c r="H37" s="157"/>
      <c r="J37" s="105">
        <v>29</v>
      </c>
      <c r="K37" s="167"/>
      <c r="L37" s="106" t="s">
        <v>98</v>
      </c>
      <c r="M37" s="29" t="s">
        <v>99</v>
      </c>
      <c r="N37" s="112">
        <f t="shared" si="1"/>
        <v>0</v>
      </c>
    </row>
    <row r="38" spans="2:14">
      <c r="B38" s="153"/>
      <c r="C38" s="84"/>
      <c r="D38" s="83"/>
      <c r="E38" s="154"/>
      <c r="F38" s="155"/>
      <c r="G38" s="85"/>
      <c r="H38" s="156"/>
      <c r="J38" s="105">
        <v>30</v>
      </c>
      <c r="K38" s="165" t="s">
        <v>100</v>
      </c>
      <c r="L38" s="106" t="s">
        <v>101</v>
      </c>
      <c r="M38" s="29" t="s">
        <v>102</v>
      </c>
      <c r="N38" s="112">
        <f t="shared" si="1"/>
        <v>0</v>
      </c>
    </row>
    <row r="39" spans="2:14">
      <c r="B39" s="153"/>
      <c r="C39" s="84"/>
      <c r="D39" s="83"/>
      <c r="E39" s="154"/>
      <c r="F39" s="155"/>
      <c r="G39" s="85"/>
      <c r="H39" s="156"/>
      <c r="J39" s="105">
        <v>31</v>
      </c>
      <c r="K39" s="167"/>
      <c r="L39" s="106" t="s">
        <v>103</v>
      </c>
      <c r="M39" s="29" t="s">
        <v>104</v>
      </c>
      <c r="N39" s="112">
        <f t="shared" si="1"/>
        <v>0</v>
      </c>
    </row>
    <row r="40" spans="2:14">
      <c r="B40" s="153"/>
      <c r="C40" s="84"/>
      <c r="D40" s="83"/>
      <c r="E40" s="154"/>
      <c r="F40" s="155"/>
      <c r="G40" s="85"/>
      <c r="H40" s="156"/>
      <c r="J40" s="105">
        <v>32</v>
      </c>
      <c r="K40" s="165" t="s">
        <v>105</v>
      </c>
      <c r="L40" s="106" t="s">
        <v>106</v>
      </c>
      <c r="M40" s="29" t="s">
        <v>107</v>
      </c>
      <c r="N40" s="112">
        <f t="shared" si="1"/>
        <v>0</v>
      </c>
    </row>
    <row r="41" spans="2:14">
      <c r="B41" s="153"/>
      <c r="C41" s="84"/>
      <c r="D41" s="83"/>
      <c r="E41" s="154"/>
      <c r="F41" s="155"/>
      <c r="G41" s="85"/>
      <c r="H41" s="156"/>
      <c r="J41" s="105">
        <v>33</v>
      </c>
      <c r="K41" s="166"/>
      <c r="L41" s="106" t="s">
        <v>108</v>
      </c>
      <c r="M41" s="29" t="s">
        <v>109</v>
      </c>
      <c r="N41" s="112">
        <f t="shared" ref="N41:N66" si="5">+SUMIF($D$10:$D$76,$L41,$E$10:$E$76)</f>
        <v>0</v>
      </c>
    </row>
    <row r="42" spans="2:14">
      <c r="B42" s="153"/>
      <c r="C42" s="84"/>
      <c r="D42" s="83"/>
      <c r="E42" s="154"/>
      <c r="F42" s="155"/>
      <c r="G42" s="85"/>
      <c r="H42" s="156"/>
      <c r="J42" s="105">
        <v>34</v>
      </c>
      <c r="K42" s="167"/>
      <c r="L42" s="106" t="s">
        <v>110</v>
      </c>
      <c r="M42" s="29" t="s">
        <v>111</v>
      </c>
      <c r="N42" s="112">
        <f t="shared" si="5"/>
        <v>0</v>
      </c>
    </row>
    <row r="43" spans="2:14">
      <c r="B43" s="153"/>
      <c r="C43" s="84"/>
      <c r="D43" s="83"/>
      <c r="E43" s="154"/>
      <c r="F43" s="155"/>
      <c r="G43" s="85"/>
      <c r="H43" s="156"/>
      <c r="J43" s="105">
        <v>35</v>
      </c>
      <c r="K43" s="165" t="s">
        <v>112</v>
      </c>
      <c r="L43" s="106" t="s">
        <v>113</v>
      </c>
      <c r="M43" s="29" t="s">
        <v>114</v>
      </c>
      <c r="N43" s="112">
        <f t="shared" si="5"/>
        <v>0</v>
      </c>
    </row>
    <row r="44" spans="2:14">
      <c r="B44" s="153"/>
      <c r="C44" s="84"/>
      <c r="D44" s="83"/>
      <c r="E44" s="154"/>
      <c r="F44" s="155"/>
      <c r="G44" s="85"/>
      <c r="H44" s="156"/>
      <c r="J44" s="105">
        <v>36</v>
      </c>
      <c r="K44" s="167"/>
      <c r="L44" s="106" t="s">
        <v>115</v>
      </c>
      <c r="M44" s="29" t="s">
        <v>116</v>
      </c>
      <c r="N44" s="112">
        <f t="shared" si="5"/>
        <v>25000</v>
      </c>
    </row>
    <row r="45" spans="2:14">
      <c r="B45" s="153"/>
      <c r="C45" s="84"/>
      <c r="D45" s="83"/>
      <c r="E45" s="154"/>
      <c r="F45" s="155"/>
      <c r="G45" s="85"/>
      <c r="H45" s="156"/>
      <c r="J45" s="105">
        <v>37</v>
      </c>
      <c r="K45" s="165" t="s">
        <v>117</v>
      </c>
      <c r="L45" s="106" t="s">
        <v>118</v>
      </c>
      <c r="M45" s="29" t="s">
        <v>119</v>
      </c>
      <c r="N45" s="112">
        <f t="shared" si="5"/>
        <v>0</v>
      </c>
    </row>
    <row r="46" spans="2:14">
      <c r="B46" s="153"/>
      <c r="C46" s="84"/>
      <c r="D46" s="83"/>
      <c r="E46" s="154"/>
      <c r="F46" s="155"/>
      <c r="G46" s="85"/>
      <c r="H46" s="156"/>
      <c r="J46" s="105">
        <v>38</v>
      </c>
      <c r="K46" s="166"/>
      <c r="L46" s="106" t="s">
        <v>120</v>
      </c>
      <c r="M46" s="29" t="s">
        <v>121</v>
      </c>
      <c r="N46" s="112">
        <f t="shared" si="5"/>
        <v>0</v>
      </c>
    </row>
    <row r="47" spans="2:14">
      <c r="B47" s="153"/>
      <c r="C47" s="84"/>
      <c r="D47" s="83"/>
      <c r="E47" s="154"/>
      <c r="F47" s="155"/>
      <c r="G47" s="85"/>
      <c r="H47" s="156"/>
      <c r="J47" s="105">
        <v>39</v>
      </c>
      <c r="K47" s="166"/>
      <c r="L47" s="106" t="s">
        <v>122</v>
      </c>
      <c r="M47" s="29" t="s">
        <v>123</v>
      </c>
      <c r="N47" s="112">
        <f t="shared" si="5"/>
        <v>0</v>
      </c>
    </row>
    <row r="48" spans="2:14">
      <c r="B48" s="153"/>
      <c r="C48" s="84"/>
      <c r="D48" s="83"/>
      <c r="E48" s="154"/>
      <c r="F48" s="155"/>
      <c r="G48" s="85"/>
      <c r="H48" s="156"/>
      <c r="J48" s="105">
        <v>40</v>
      </c>
      <c r="K48" s="167"/>
      <c r="L48" s="106" t="s">
        <v>124</v>
      </c>
      <c r="M48" s="29" t="s">
        <v>125</v>
      </c>
      <c r="N48" s="112">
        <f t="shared" si="5"/>
        <v>0</v>
      </c>
    </row>
    <row r="49" spans="2:15">
      <c r="B49" s="153"/>
      <c r="C49" s="84"/>
      <c r="D49" s="83"/>
      <c r="E49" s="154"/>
      <c r="F49" s="155"/>
      <c r="G49" s="85"/>
      <c r="H49" s="156"/>
      <c r="J49" s="105">
        <v>41</v>
      </c>
      <c r="K49" s="165" t="s">
        <v>126</v>
      </c>
      <c r="L49" s="106" t="s">
        <v>127</v>
      </c>
      <c r="M49" s="29" t="s">
        <v>128</v>
      </c>
      <c r="N49" s="112">
        <f t="shared" si="5"/>
        <v>0</v>
      </c>
    </row>
    <row r="50" spans="2:15">
      <c r="B50" s="153"/>
      <c r="C50" s="84"/>
      <c r="D50" s="83"/>
      <c r="E50" s="154"/>
      <c r="F50" s="155"/>
      <c r="G50" s="85"/>
      <c r="H50" s="156"/>
      <c r="J50" s="105">
        <v>42</v>
      </c>
      <c r="K50" s="166"/>
      <c r="L50" s="106" t="s">
        <v>129</v>
      </c>
      <c r="M50" s="29" t="s">
        <v>130</v>
      </c>
      <c r="N50" s="112">
        <f t="shared" si="5"/>
        <v>0</v>
      </c>
    </row>
    <row r="51" spans="2:15">
      <c r="B51" s="153"/>
      <c r="C51" s="84"/>
      <c r="D51" s="83"/>
      <c r="E51" s="154"/>
      <c r="F51" s="155"/>
      <c r="G51" s="85"/>
      <c r="H51" s="156"/>
      <c r="J51" s="105">
        <v>43</v>
      </c>
      <c r="K51" s="166"/>
      <c r="L51" s="106" t="s">
        <v>131</v>
      </c>
      <c r="M51" s="29" t="s">
        <v>132</v>
      </c>
      <c r="N51" s="112">
        <f t="shared" si="5"/>
        <v>0</v>
      </c>
    </row>
    <row r="52" spans="2:15">
      <c r="B52" s="153"/>
      <c r="C52" s="84"/>
      <c r="D52" s="83"/>
      <c r="E52" s="154"/>
      <c r="F52" s="155"/>
      <c r="G52" s="85"/>
      <c r="H52" s="156"/>
      <c r="J52" s="105">
        <v>44</v>
      </c>
      <c r="K52" s="166"/>
      <c r="L52" s="106" t="s">
        <v>133</v>
      </c>
      <c r="M52" s="29" t="s">
        <v>134</v>
      </c>
      <c r="N52" s="112">
        <f t="shared" si="5"/>
        <v>0</v>
      </c>
    </row>
    <row r="53" spans="2:15">
      <c r="B53" s="153"/>
      <c r="C53" s="84"/>
      <c r="D53" s="83"/>
      <c r="E53" s="154"/>
      <c r="F53" s="155"/>
      <c r="G53" s="85"/>
      <c r="H53" s="156"/>
      <c r="J53" s="105">
        <v>45</v>
      </c>
      <c r="K53" s="167"/>
      <c r="L53" s="106" t="s">
        <v>135</v>
      </c>
      <c r="M53" s="29" t="s">
        <v>136</v>
      </c>
      <c r="N53" s="112">
        <f t="shared" si="5"/>
        <v>0</v>
      </c>
    </row>
    <row r="54" spans="2:15">
      <c r="B54" s="153"/>
      <c r="C54" s="84"/>
      <c r="D54" s="83"/>
      <c r="E54" s="154"/>
      <c r="F54" s="155"/>
      <c r="G54" s="85"/>
      <c r="H54" s="156"/>
      <c r="J54" s="105">
        <v>46</v>
      </c>
      <c r="K54" s="165" t="s">
        <v>137</v>
      </c>
      <c r="L54" s="106" t="s">
        <v>138</v>
      </c>
      <c r="M54" s="29" t="s">
        <v>139</v>
      </c>
      <c r="N54" s="112">
        <f t="shared" si="5"/>
        <v>0</v>
      </c>
    </row>
    <row r="55" spans="2:15">
      <c r="B55" s="153"/>
      <c r="C55" s="84"/>
      <c r="D55" s="83"/>
      <c r="E55" s="154"/>
      <c r="F55" s="155"/>
      <c r="G55" s="85"/>
      <c r="H55" s="156"/>
      <c r="J55" s="105">
        <v>47</v>
      </c>
      <c r="K55" s="166"/>
      <c r="L55" s="106" t="s">
        <v>140</v>
      </c>
      <c r="M55" s="29" t="s">
        <v>141</v>
      </c>
      <c r="N55" s="112">
        <f t="shared" si="5"/>
        <v>0</v>
      </c>
    </row>
    <row r="56" spans="2:15">
      <c r="B56" s="153"/>
      <c r="C56" s="84"/>
      <c r="D56" s="83"/>
      <c r="E56" s="154"/>
      <c r="F56" s="155"/>
      <c r="G56" s="85"/>
      <c r="H56" s="156"/>
      <c r="J56" s="105">
        <v>48</v>
      </c>
      <c r="K56" s="166"/>
      <c r="L56" s="106" t="s">
        <v>142</v>
      </c>
      <c r="M56" s="29" t="s">
        <v>143</v>
      </c>
      <c r="N56" s="112">
        <f t="shared" si="5"/>
        <v>4500</v>
      </c>
    </row>
    <row r="57" spans="2:15">
      <c r="B57" s="153"/>
      <c r="C57" s="84"/>
      <c r="D57" s="83"/>
      <c r="E57" s="154"/>
      <c r="F57" s="155"/>
      <c r="G57" s="85"/>
      <c r="H57" s="156"/>
      <c r="J57" s="105">
        <v>49</v>
      </c>
      <c r="K57" s="167"/>
      <c r="L57" s="106" t="s">
        <v>144</v>
      </c>
      <c r="M57" s="29" t="s">
        <v>145</v>
      </c>
      <c r="N57" s="112">
        <f t="shared" si="5"/>
        <v>0</v>
      </c>
      <c r="O57" s="63"/>
    </row>
    <row r="58" spans="2:15">
      <c r="B58" s="153"/>
      <c r="C58" s="84"/>
      <c r="D58" s="83"/>
      <c r="E58" s="154"/>
      <c r="F58" s="155"/>
      <c r="G58" s="85"/>
      <c r="H58" s="156"/>
      <c r="J58" s="105">
        <v>50</v>
      </c>
      <c r="K58" s="162" t="s">
        <v>146</v>
      </c>
      <c r="L58" s="106" t="s">
        <v>147</v>
      </c>
      <c r="M58" s="29" t="s">
        <v>148</v>
      </c>
      <c r="N58" s="112">
        <f t="shared" si="5"/>
        <v>0</v>
      </c>
    </row>
    <row r="59" spans="2:15">
      <c r="B59" s="153"/>
      <c r="C59" s="84"/>
      <c r="D59" s="83"/>
      <c r="E59" s="154"/>
      <c r="F59" s="155"/>
      <c r="G59" s="85"/>
      <c r="H59" s="156"/>
      <c r="J59" s="105">
        <v>51</v>
      </c>
      <c r="K59" s="163"/>
      <c r="L59" s="106" t="s">
        <v>149</v>
      </c>
      <c r="M59" s="29" t="s">
        <v>150</v>
      </c>
      <c r="N59" s="112">
        <f t="shared" si="5"/>
        <v>0</v>
      </c>
    </row>
    <row r="60" spans="2:15">
      <c r="B60" s="153"/>
      <c r="C60" s="84"/>
      <c r="D60" s="83"/>
      <c r="E60" s="154"/>
      <c r="F60" s="155"/>
      <c r="G60" s="85"/>
      <c r="H60" s="156"/>
      <c r="J60" s="105">
        <v>52</v>
      </c>
      <c r="K60" s="163"/>
      <c r="L60" s="106" t="s">
        <v>151</v>
      </c>
      <c r="M60" s="29" t="s">
        <v>152</v>
      </c>
      <c r="N60" s="112">
        <f t="shared" si="5"/>
        <v>0</v>
      </c>
    </row>
    <row r="61" spans="2:15">
      <c r="B61" s="153"/>
      <c r="C61" s="84"/>
      <c r="D61" s="83"/>
      <c r="E61" s="154"/>
      <c r="F61" s="155"/>
      <c r="G61" s="85"/>
      <c r="H61" s="156"/>
      <c r="J61" s="105">
        <v>53</v>
      </c>
      <c r="K61" s="164"/>
      <c r="L61" s="106" t="s">
        <v>153</v>
      </c>
      <c r="M61" s="29" t="s">
        <v>154</v>
      </c>
      <c r="N61" s="112">
        <f t="shared" si="5"/>
        <v>0</v>
      </c>
    </row>
    <row r="62" spans="2:15">
      <c r="B62" s="153"/>
      <c r="C62" s="84"/>
      <c r="D62" s="83"/>
      <c r="E62" s="154"/>
      <c r="F62" s="155"/>
      <c r="G62" s="85"/>
      <c r="H62" s="156"/>
      <c r="J62" s="105">
        <v>54</v>
      </c>
      <c r="K62" s="162" t="s">
        <v>155</v>
      </c>
      <c r="L62" s="106" t="s">
        <v>156</v>
      </c>
      <c r="M62" s="29" t="s">
        <v>157</v>
      </c>
      <c r="N62" s="112">
        <f t="shared" si="5"/>
        <v>0</v>
      </c>
    </row>
    <row r="63" spans="2:15">
      <c r="B63" s="153"/>
      <c r="C63" s="84"/>
      <c r="D63" s="83"/>
      <c r="E63" s="154"/>
      <c r="F63" s="155"/>
      <c r="G63" s="85"/>
      <c r="H63" s="156"/>
      <c r="J63" s="105">
        <v>55</v>
      </c>
      <c r="K63" s="163"/>
      <c r="L63" s="106" t="s">
        <v>158</v>
      </c>
      <c r="M63" s="29" t="s">
        <v>159</v>
      </c>
      <c r="N63" s="112">
        <f t="shared" si="5"/>
        <v>0</v>
      </c>
    </row>
    <row r="64" spans="2:15">
      <c r="B64" s="153"/>
      <c r="C64" s="84"/>
      <c r="D64" s="83"/>
      <c r="E64" s="154"/>
      <c r="F64" s="155"/>
      <c r="G64" s="85"/>
      <c r="H64" s="156"/>
      <c r="J64" s="105">
        <v>56</v>
      </c>
      <c r="K64" s="163"/>
      <c r="L64" s="106" t="s">
        <v>160</v>
      </c>
      <c r="M64" s="29" t="s">
        <v>161</v>
      </c>
      <c r="N64" s="112">
        <f t="shared" si="5"/>
        <v>0</v>
      </c>
    </row>
    <row r="65" spans="2:14">
      <c r="B65" s="153"/>
      <c r="C65" s="84"/>
      <c r="D65" s="83"/>
      <c r="E65" s="154"/>
      <c r="F65" s="155"/>
      <c r="G65" s="85"/>
      <c r="H65" s="156"/>
      <c r="I65" s="104"/>
      <c r="J65" s="105">
        <v>57</v>
      </c>
      <c r="K65" s="163"/>
      <c r="L65" s="106" t="s">
        <v>162</v>
      </c>
      <c r="M65" s="29" t="s">
        <v>163</v>
      </c>
      <c r="N65" s="112">
        <f t="shared" si="5"/>
        <v>0</v>
      </c>
    </row>
    <row r="66" spans="2:14">
      <c r="B66" s="153"/>
      <c r="C66" s="84"/>
      <c r="D66" s="83"/>
      <c r="E66" s="154"/>
      <c r="F66" s="155"/>
      <c r="G66" s="85"/>
      <c r="H66" s="156"/>
      <c r="I66" s="104"/>
      <c r="J66" s="105">
        <v>58</v>
      </c>
      <c r="K66" s="164"/>
      <c r="L66" s="106" t="s">
        <v>164</v>
      </c>
      <c r="M66" s="29" t="s">
        <v>165</v>
      </c>
      <c r="N66" s="112">
        <f t="shared" si="5"/>
        <v>0</v>
      </c>
    </row>
    <row r="67" spans="2:14">
      <c r="B67" s="153"/>
      <c r="C67" s="84"/>
      <c r="D67" s="83"/>
      <c r="E67" s="154"/>
      <c r="F67" s="155"/>
      <c r="G67" s="85"/>
      <c r="H67" s="156"/>
      <c r="I67" s="104"/>
      <c r="J67" s="105">
        <v>59</v>
      </c>
      <c r="K67" s="162" t="s">
        <v>166</v>
      </c>
      <c r="L67" s="120" t="s">
        <v>167</v>
      </c>
      <c r="M67" s="121" t="s">
        <v>168</v>
      </c>
      <c r="N67" s="122"/>
    </row>
    <row r="68" spans="2:14">
      <c r="B68" s="153"/>
      <c r="C68" s="84"/>
      <c r="D68" s="83"/>
      <c r="E68" s="154"/>
      <c r="F68" s="155"/>
      <c r="G68" s="85"/>
      <c r="H68" s="156"/>
      <c r="I68" s="104"/>
      <c r="J68" s="105">
        <v>60</v>
      </c>
      <c r="K68" s="163"/>
      <c r="L68" s="106" t="s">
        <v>169</v>
      </c>
      <c r="M68" s="29" t="s">
        <v>170</v>
      </c>
      <c r="N68" s="112">
        <f t="shared" ref="N68:N76" si="6">+SUMIF($D$10:$D$76,$L68,$E$10:$E$76)</f>
        <v>0</v>
      </c>
    </row>
    <row r="69" spans="2:14">
      <c r="B69" s="153"/>
      <c r="C69" s="84"/>
      <c r="D69" s="83"/>
      <c r="E69" s="154"/>
      <c r="F69" s="155"/>
      <c r="G69" s="85"/>
      <c r="H69" s="156"/>
      <c r="I69" s="104"/>
      <c r="J69" s="105">
        <v>61</v>
      </c>
      <c r="K69" s="163"/>
      <c r="L69" s="106" t="s">
        <v>171</v>
      </c>
      <c r="M69" s="29" t="s">
        <v>172</v>
      </c>
      <c r="N69" s="112">
        <f t="shared" si="6"/>
        <v>0</v>
      </c>
    </row>
    <row r="70" spans="2:14" ht="17.25" thickBot="1">
      <c r="B70" s="153"/>
      <c r="C70" s="84"/>
      <c r="D70" s="83"/>
      <c r="E70" s="154"/>
      <c r="F70" s="155"/>
      <c r="G70" s="85"/>
      <c r="H70" s="156"/>
      <c r="J70" s="118">
        <v>62</v>
      </c>
      <c r="K70" s="172"/>
      <c r="L70" s="108" t="s">
        <v>173</v>
      </c>
      <c r="M70" s="109" t="s">
        <v>174</v>
      </c>
      <c r="N70" s="112">
        <f t="shared" si="6"/>
        <v>0</v>
      </c>
    </row>
    <row r="71" spans="2:14">
      <c r="B71" s="153"/>
      <c r="C71" s="84"/>
      <c r="D71" s="83"/>
      <c r="E71" s="154"/>
      <c r="F71" s="155"/>
      <c r="G71" s="85"/>
      <c r="H71" s="156"/>
      <c r="J71" s="119">
        <v>63</v>
      </c>
      <c r="K71" s="170" t="s">
        <v>175</v>
      </c>
      <c r="L71" s="93" t="s">
        <v>176</v>
      </c>
      <c r="M71" s="113" t="s">
        <v>177</v>
      </c>
      <c r="N71" s="114">
        <f t="shared" si="6"/>
        <v>0</v>
      </c>
    </row>
    <row r="72" spans="2:14">
      <c r="B72" s="153"/>
      <c r="C72" s="84"/>
      <c r="D72" s="83"/>
      <c r="E72" s="154"/>
      <c r="F72" s="155"/>
      <c r="G72" s="85"/>
      <c r="H72" s="156"/>
      <c r="J72" s="105">
        <v>64</v>
      </c>
      <c r="K72" s="171"/>
      <c r="L72" s="92" t="s">
        <v>178</v>
      </c>
      <c r="M72" s="110" t="s">
        <v>179</v>
      </c>
      <c r="N72" s="115">
        <f t="shared" si="6"/>
        <v>0</v>
      </c>
    </row>
    <row r="73" spans="2:14" ht="17.25" thickBot="1">
      <c r="B73" s="153"/>
      <c r="C73" s="84"/>
      <c r="D73" s="83"/>
      <c r="E73" s="154"/>
      <c r="F73" s="155"/>
      <c r="G73" s="85"/>
      <c r="H73" s="156"/>
      <c r="J73" s="118">
        <v>65</v>
      </c>
      <c r="K73" s="31" t="s">
        <v>180</v>
      </c>
      <c r="L73" s="31" t="s">
        <v>180</v>
      </c>
      <c r="M73" s="116" t="s">
        <v>181</v>
      </c>
      <c r="N73" s="111">
        <f t="shared" si="6"/>
        <v>62543</v>
      </c>
    </row>
    <row r="74" spans="2:14">
      <c r="B74" s="153"/>
      <c r="C74" s="84"/>
      <c r="D74" s="83"/>
      <c r="E74" s="154"/>
      <c r="F74" s="155"/>
      <c r="G74" s="85"/>
      <c r="H74" s="156"/>
      <c r="J74" s="119">
        <v>66</v>
      </c>
      <c r="K74" s="170" t="s">
        <v>182</v>
      </c>
      <c r="L74" s="93" t="s">
        <v>183</v>
      </c>
      <c r="M74" s="113" t="s">
        <v>177</v>
      </c>
      <c r="N74" s="114">
        <f t="shared" si="6"/>
        <v>0</v>
      </c>
    </row>
    <row r="75" spans="2:14">
      <c r="B75" s="153"/>
      <c r="C75" s="84"/>
      <c r="D75" s="83"/>
      <c r="E75" s="154"/>
      <c r="F75" s="155"/>
      <c r="G75" s="85"/>
      <c r="H75" s="156"/>
      <c r="J75" s="105">
        <v>67</v>
      </c>
      <c r="K75" s="171"/>
      <c r="L75" s="92" t="s">
        <v>184</v>
      </c>
      <c r="M75" s="110" t="s">
        <v>179</v>
      </c>
      <c r="N75" s="115">
        <f t="shared" si="6"/>
        <v>0</v>
      </c>
    </row>
    <row r="76" spans="2:14" ht="17.25" thickBot="1">
      <c r="B76" s="153"/>
      <c r="C76" s="84"/>
      <c r="D76" s="83"/>
      <c r="E76" s="154"/>
      <c r="F76" s="155"/>
      <c r="G76" s="85"/>
      <c r="H76" s="156"/>
      <c r="J76" s="107">
        <v>68</v>
      </c>
      <c r="K76" s="31" t="s">
        <v>185</v>
      </c>
      <c r="L76" s="31" t="s">
        <v>185</v>
      </c>
      <c r="M76" s="116" t="s">
        <v>181</v>
      </c>
      <c r="N76" s="111">
        <f t="shared" si="6"/>
        <v>0</v>
      </c>
    </row>
    <row r="77" spans="2:14" ht="17.25" thickBot="1">
      <c r="B77" s="15"/>
      <c r="C77" s="16"/>
      <c r="D77" s="17"/>
      <c r="E77" s="18">
        <f>SUM(E9:E76)</f>
        <v>229243</v>
      </c>
      <c r="F77" s="19"/>
      <c r="G77" s="20"/>
      <c r="H77" s="21"/>
      <c r="J77" s="168" t="s">
        <v>186</v>
      </c>
      <c r="K77" s="169"/>
      <c r="L77" s="169"/>
      <c r="M77" s="30"/>
      <c r="N77" s="23">
        <f>SUM(N9:N76)</f>
        <v>219243</v>
      </c>
    </row>
    <row r="78" spans="2:14" ht="16.5" customHeight="1">
      <c r="B78" s="2" t="s">
        <v>187</v>
      </c>
    </row>
    <row r="79" spans="2:14" ht="16.5" customHeight="1"/>
    <row r="80" spans="2:14" ht="26.25" customHeight="1"/>
    <row r="81" ht="26.25" customHeight="1"/>
    <row r="82" ht="26.25" customHeight="1"/>
    <row r="83" ht="26.25" customHeight="1"/>
    <row r="84" ht="26.25" customHeight="1"/>
    <row r="85" ht="26.25" customHeight="1"/>
    <row r="86" ht="26.25" customHeight="1"/>
    <row r="87" ht="26.25" customHeight="1"/>
    <row r="88" ht="26.25" customHeight="1"/>
    <row r="89" ht="26.25" customHeight="1"/>
    <row r="90" ht="26.25" customHeight="1"/>
    <row r="91" ht="26.25" customHeight="1"/>
    <row r="92" ht="26.25" customHeight="1"/>
    <row r="93" ht="26.25" customHeight="1"/>
    <row r="94" ht="26.25" customHeight="1"/>
    <row r="95" ht="26.25" customHeight="1"/>
    <row r="96" ht="26.25" customHeight="1"/>
    <row r="97" spans="8:8" ht="26.25" customHeight="1"/>
    <row r="98" spans="8:8" ht="26.25" customHeight="1"/>
    <row r="99" spans="8:8" ht="26.25" customHeight="1"/>
    <row r="100" spans="8:8" ht="26.25" customHeight="1"/>
    <row r="101" spans="8:8" ht="26.25" customHeight="1"/>
    <row r="102" spans="8:8" ht="26.25" customHeight="1"/>
    <row r="103" spans="8:8" ht="26.25" customHeight="1"/>
    <row r="104" spans="8:8" ht="26.25" customHeight="1"/>
    <row r="105" spans="8:8" ht="26.25" customHeight="1">
      <c r="H105" s="2"/>
    </row>
    <row r="106" spans="8:8" ht="26.25" customHeight="1">
      <c r="H106" s="2"/>
    </row>
    <row r="107" spans="8:8" ht="26.25" customHeight="1">
      <c r="H107" s="2"/>
    </row>
    <row r="108" spans="8:8" ht="26.25" customHeight="1">
      <c r="H108" s="2"/>
    </row>
    <row r="109" spans="8:8" ht="26.25" customHeight="1">
      <c r="H109" s="2"/>
    </row>
    <row r="110" spans="8:8" ht="26.25" customHeight="1">
      <c r="H110" s="2"/>
    </row>
    <row r="111" spans="8:8" ht="26.25" customHeight="1">
      <c r="H111" s="2"/>
    </row>
    <row r="112" spans="8:8" ht="26.25" customHeight="1">
      <c r="H112" s="2"/>
    </row>
    <row r="113" spans="8:8" ht="26.25" customHeight="1">
      <c r="H113" s="2"/>
    </row>
    <row r="114" spans="8:8" ht="26.25" customHeight="1">
      <c r="H114" s="2"/>
    </row>
    <row r="115" spans="8:8" ht="26.25" customHeight="1">
      <c r="H115" s="2"/>
    </row>
    <row r="116" spans="8:8" ht="26.25" customHeight="1">
      <c r="H116" s="2"/>
    </row>
    <row r="117" spans="8:8" ht="26.25" customHeight="1">
      <c r="H117" s="2"/>
    </row>
    <row r="118" spans="8:8" ht="26.25" customHeight="1">
      <c r="H118" s="2"/>
    </row>
    <row r="119" spans="8:8" ht="26.25" customHeight="1">
      <c r="H119" s="2"/>
    </row>
    <row r="120" spans="8:8" ht="26.25" customHeight="1">
      <c r="H120" s="2"/>
    </row>
    <row r="121" spans="8:8" ht="26.25" customHeight="1">
      <c r="H121" s="2"/>
    </row>
    <row r="122" spans="8:8" ht="26.25" customHeight="1">
      <c r="H122" s="2"/>
    </row>
    <row r="123" spans="8:8" ht="26.25" customHeight="1">
      <c r="H123" s="2"/>
    </row>
    <row r="124" spans="8:8" ht="26.25" customHeight="1">
      <c r="H124" s="2"/>
    </row>
    <row r="125" spans="8:8" ht="26.25" customHeight="1">
      <c r="H125" s="2"/>
    </row>
    <row r="126" spans="8:8" ht="26.25" customHeight="1">
      <c r="H126" s="2"/>
    </row>
    <row r="127" spans="8:8" ht="26.25" customHeight="1">
      <c r="H127" s="2"/>
    </row>
    <row r="128" spans="8:8" ht="26.25" customHeight="1">
      <c r="H128" s="2"/>
    </row>
    <row r="129" spans="8:8" ht="26.25" customHeight="1">
      <c r="H129" s="2"/>
    </row>
    <row r="130" spans="8:8" ht="26.25" customHeight="1">
      <c r="H130" s="2"/>
    </row>
    <row r="131" spans="8:8" ht="26.25" customHeight="1">
      <c r="H131" s="2"/>
    </row>
    <row r="132" spans="8:8" ht="26.25" customHeight="1">
      <c r="H132" s="2"/>
    </row>
    <row r="133" spans="8:8" ht="26.25" customHeight="1">
      <c r="H133" s="2"/>
    </row>
    <row r="134" spans="8:8" ht="26.25" customHeight="1">
      <c r="H134" s="2"/>
    </row>
    <row r="135" spans="8:8" ht="26.25" customHeight="1">
      <c r="H135" s="2"/>
    </row>
    <row r="136" spans="8:8" ht="26.25" customHeight="1">
      <c r="H136" s="2"/>
    </row>
    <row r="137" spans="8:8" ht="26.25" customHeight="1">
      <c r="H137" s="2"/>
    </row>
    <row r="138" spans="8:8" ht="26.25" customHeight="1">
      <c r="H138" s="2"/>
    </row>
    <row r="139" spans="8:8" ht="26.25" customHeight="1">
      <c r="H139" s="2"/>
    </row>
    <row r="140" spans="8:8" ht="26.25" customHeight="1">
      <c r="H140" s="2"/>
    </row>
    <row r="141" spans="8:8" ht="26.25" customHeight="1">
      <c r="H141" s="2"/>
    </row>
    <row r="142" spans="8:8" ht="26.25" customHeight="1">
      <c r="H142" s="2"/>
    </row>
    <row r="143" spans="8:8" ht="26.25" customHeight="1">
      <c r="H143" s="2"/>
    </row>
    <row r="144" spans="8:8" ht="26.25" customHeight="1">
      <c r="H144" s="2"/>
    </row>
    <row r="145" spans="8:8" ht="26.25" customHeight="1">
      <c r="H145" s="2"/>
    </row>
    <row r="146" spans="8:8" ht="26.25" customHeight="1">
      <c r="H146" s="2"/>
    </row>
    <row r="147" spans="8:8" ht="26.25" customHeight="1"/>
  </sheetData>
  <autoFilter ref="B8:O58" xr:uid="{7A588985-D0C6-425E-ADE1-9389503D76D2}"/>
  <mergeCells count="23">
    <mergeCell ref="B2:H2"/>
    <mergeCell ref="C5:H5"/>
    <mergeCell ref="C4:E4"/>
    <mergeCell ref="G4:H4"/>
    <mergeCell ref="K43:K44"/>
    <mergeCell ref="K40:K42"/>
    <mergeCell ref="K38:K39"/>
    <mergeCell ref="K35:K37"/>
    <mergeCell ref="K29:K34"/>
    <mergeCell ref="J4:N5"/>
    <mergeCell ref="K21:K28"/>
    <mergeCell ref="K17:K20"/>
    <mergeCell ref="K14:K16"/>
    <mergeCell ref="K9:K13"/>
    <mergeCell ref="K58:K61"/>
    <mergeCell ref="K54:K57"/>
    <mergeCell ref="K49:K53"/>
    <mergeCell ref="K45:K48"/>
    <mergeCell ref="J77:L77"/>
    <mergeCell ref="K74:K75"/>
    <mergeCell ref="K71:K72"/>
    <mergeCell ref="K67:K70"/>
    <mergeCell ref="K62:K66"/>
  </mergeCells>
  <phoneticPr fontId="28" type="noConversion"/>
  <dataValidations disablePrompts="1" count="1">
    <dataValidation type="list" allowBlank="1" showDropDown="1" showInputMessage="1" showErrorMessage="1" sqref="C54 C9:C27" xr:uid="{00000000-0002-0000-0100-000002000000}">
      <formula1>$J$9:$J$76</formula1>
    </dataValidation>
  </dataValidations>
  <pageMargins left="0.35433070866141736" right="0.31496062992125984" top="0.74803149606299213" bottom="0.74803149606299213" header="0.31496062992125984" footer="0.31496062992125984"/>
  <pageSetup paperSize="9" scale="68" fitToHeight="100" orientation="portrait" r:id="rId1"/>
  <colBreaks count="2" manualBreakCount="2">
    <brk id="8" min="1" max="86" man="1"/>
    <brk id="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D4B1A-7711-4167-9E2E-A8741E0C1DB0}">
  <sheetPr>
    <pageSetUpPr fitToPage="1"/>
  </sheetPr>
  <dimension ref="B1:K31"/>
  <sheetViews>
    <sheetView zoomScale="85" zoomScaleNormal="85" zoomScaleSheetLayoutView="100" workbookViewId="0"/>
  </sheetViews>
  <sheetFormatPr defaultColWidth="9" defaultRowHeight="16.5"/>
  <cols>
    <col min="1" max="1" width="1.625" style="125" customWidth="1"/>
    <col min="2" max="2" width="9.375" style="125" bestFit="1" customWidth="1"/>
    <col min="3" max="3" width="9" style="125"/>
    <col min="4" max="4" width="16.125" style="125" bestFit="1" customWidth="1"/>
    <col min="5" max="5" width="9" style="125"/>
    <col min="6" max="6" width="8.625" style="125" bestFit="1" customWidth="1"/>
    <col min="7" max="7" width="9.125" style="125" bestFit="1" customWidth="1"/>
    <col min="8" max="8" width="9" style="125"/>
    <col min="9" max="11" width="10.625" style="125" customWidth="1"/>
    <col min="12" max="12" width="1.625" style="125" customWidth="1"/>
    <col min="13" max="16384" width="9" style="125"/>
  </cols>
  <sheetData>
    <row r="1" spans="2:11" ht="9.9499999999999993" customHeight="1"/>
    <row r="2" spans="2:11" ht="31.5">
      <c r="B2" s="191" t="s">
        <v>188</v>
      </c>
      <c r="C2" s="191"/>
      <c r="D2" s="191"/>
      <c r="E2" s="191"/>
      <c r="F2" s="191"/>
      <c r="G2" s="191"/>
      <c r="H2" s="191"/>
      <c r="I2" s="191"/>
      <c r="J2" s="191"/>
      <c r="K2" s="191"/>
    </row>
    <row r="3" spans="2:11" ht="9.9499999999999993" customHeight="1"/>
    <row r="4" spans="2:11">
      <c r="B4" s="192" t="s">
        <v>189</v>
      </c>
      <c r="C4" s="193"/>
      <c r="D4" s="194" t="s">
        <v>190</v>
      </c>
      <c r="E4" s="195"/>
      <c r="F4" s="195"/>
      <c r="G4" s="195"/>
      <c r="H4" s="195"/>
      <c r="I4" s="195"/>
      <c r="J4" s="195"/>
      <c r="K4" s="195"/>
    </row>
    <row r="5" spans="2:11" ht="9.9499999999999993" customHeight="1" thickBot="1"/>
    <row r="6" spans="2:11" ht="39.950000000000003" customHeight="1" thickBot="1">
      <c r="B6" s="126" t="s">
        <v>191</v>
      </c>
      <c r="C6" s="127" t="s">
        <v>192</v>
      </c>
      <c r="D6" s="127" t="s">
        <v>193</v>
      </c>
      <c r="E6" s="127" t="s">
        <v>194</v>
      </c>
      <c r="F6" s="127" t="s">
        <v>195</v>
      </c>
      <c r="G6" s="127" t="s">
        <v>196</v>
      </c>
      <c r="H6" s="127" t="s">
        <v>197</v>
      </c>
      <c r="I6" s="127" t="s">
        <v>198</v>
      </c>
      <c r="J6" s="127" t="s">
        <v>199</v>
      </c>
      <c r="K6" s="128" t="s">
        <v>200</v>
      </c>
    </row>
    <row r="7" spans="2:11" ht="27.95" customHeight="1" thickTop="1">
      <c r="B7" s="144"/>
      <c r="C7" s="145"/>
      <c r="D7" s="152"/>
      <c r="E7" s="146"/>
      <c r="F7" s="146"/>
      <c r="G7" s="147"/>
      <c r="H7" s="148"/>
      <c r="I7" s="149"/>
      <c r="J7" s="150"/>
      <c r="K7" s="151"/>
    </row>
    <row r="8" spans="2:11" ht="27.95" customHeight="1">
      <c r="B8" s="144"/>
      <c r="C8" s="145"/>
      <c r="D8" s="152"/>
      <c r="E8" s="146"/>
      <c r="F8" s="146"/>
      <c r="G8" s="147"/>
      <c r="H8" s="148"/>
      <c r="I8" s="149"/>
      <c r="J8" s="150"/>
      <c r="K8" s="151"/>
    </row>
    <row r="9" spans="2:11" ht="27.95" customHeight="1">
      <c r="B9" s="144"/>
      <c r="C9" s="145"/>
      <c r="D9" s="152"/>
      <c r="E9" s="146"/>
      <c r="F9" s="146"/>
      <c r="G9" s="147"/>
      <c r="H9" s="148"/>
      <c r="I9" s="149"/>
      <c r="J9" s="150"/>
      <c r="K9" s="151"/>
    </row>
    <row r="10" spans="2:11" ht="27.95" customHeight="1">
      <c r="B10" s="144"/>
      <c r="C10" s="145"/>
      <c r="D10" s="152"/>
      <c r="E10" s="146"/>
      <c r="F10" s="146"/>
      <c r="G10" s="147"/>
      <c r="H10" s="148"/>
      <c r="I10" s="149"/>
      <c r="J10" s="150"/>
      <c r="K10" s="151"/>
    </row>
    <row r="11" spans="2:11" ht="27.95" customHeight="1">
      <c r="B11" s="144"/>
      <c r="C11" s="145"/>
      <c r="D11" s="152"/>
      <c r="E11" s="146"/>
      <c r="F11" s="146"/>
      <c r="G11" s="147"/>
      <c r="H11" s="148"/>
      <c r="I11" s="149"/>
      <c r="J11" s="150"/>
      <c r="K11" s="151"/>
    </row>
    <row r="12" spans="2:11" ht="27.95" customHeight="1">
      <c r="B12" s="144"/>
      <c r="C12" s="145"/>
      <c r="D12" s="152"/>
      <c r="E12" s="146"/>
      <c r="F12" s="146"/>
      <c r="G12" s="147"/>
      <c r="H12" s="148"/>
      <c r="I12" s="149"/>
      <c r="J12" s="150"/>
      <c r="K12" s="151"/>
    </row>
    <row r="13" spans="2:11" ht="27.95" customHeight="1">
      <c r="B13" s="144"/>
      <c r="C13" s="145"/>
      <c r="D13" s="152"/>
      <c r="E13" s="146"/>
      <c r="F13" s="146"/>
      <c r="G13" s="147"/>
      <c r="H13" s="148"/>
      <c r="I13" s="149"/>
      <c r="J13" s="150"/>
      <c r="K13" s="151"/>
    </row>
    <row r="14" spans="2:11" ht="27.95" customHeight="1">
      <c r="B14" s="144"/>
      <c r="C14" s="145"/>
      <c r="D14" s="152"/>
      <c r="E14" s="146"/>
      <c r="F14" s="146"/>
      <c r="G14" s="147"/>
      <c r="H14" s="148"/>
      <c r="I14" s="149"/>
      <c r="J14" s="150"/>
      <c r="K14" s="151"/>
    </row>
    <row r="15" spans="2:11" ht="27.95" customHeight="1">
      <c r="B15" s="144"/>
      <c r="C15" s="145"/>
      <c r="D15" s="152"/>
      <c r="E15" s="146"/>
      <c r="F15" s="146"/>
      <c r="G15" s="147"/>
      <c r="H15" s="148"/>
      <c r="I15" s="149"/>
      <c r="J15" s="150"/>
      <c r="K15" s="151"/>
    </row>
    <row r="16" spans="2:11" ht="27.95" customHeight="1">
      <c r="B16" s="144"/>
      <c r="C16" s="145"/>
      <c r="D16" s="152"/>
      <c r="E16" s="146"/>
      <c r="F16" s="146"/>
      <c r="G16" s="147"/>
      <c r="H16" s="148"/>
      <c r="I16" s="149"/>
      <c r="J16" s="150"/>
      <c r="K16" s="151"/>
    </row>
    <row r="17" spans="2:11" ht="27.95" customHeight="1">
      <c r="B17" s="144"/>
      <c r="C17" s="145"/>
      <c r="D17" s="152"/>
      <c r="E17" s="146"/>
      <c r="F17" s="146"/>
      <c r="G17" s="147"/>
      <c r="H17" s="148"/>
      <c r="I17" s="149"/>
      <c r="J17" s="150"/>
      <c r="K17" s="151"/>
    </row>
    <row r="18" spans="2:11" ht="27.95" customHeight="1">
      <c r="B18" s="144"/>
      <c r="C18" s="145"/>
      <c r="D18" s="152"/>
      <c r="E18" s="146"/>
      <c r="F18" s="146"/>
      <c r="G18" s="147"/>
      <c r="H18" s="148"/>
      <c r="I18" s="149"/>
      <c r="J18" s="150"/>
      <c r="K18" s="151"/>
    </row>
    <row r="19" spans="2:11" ht="27.95" customHeight="1">
      <c r="B19" s="144"/>
      <c r="C19" s="145"/>
      <c r="D19" s="152"/>
      <c r="E19" s="146"/>
      <c r="F19" s="146"/>
      <c r="G19" s="147"/>
      <c r="H19" s="148"/>
      <c r="I19" s="149"/>
      <c r="J19" s="150"/>
      <c r="K19" s="151"/>
    </row>
    <row r="20" spans="2:11" ht="27.95" customHeight="1">
      <c r="B20" s="144"/>
      <c r="C20" s="145"/>
      <c r="D20" s="152"/>
      <c r="E20" s="146"/>
      <c r="F20" s="146"/>
      <c r="G20" s="147"/>
      <c r="H20" s="148"/>
      <c r="I20" s="149"/>
      <c r="J20" s="150"/>
      <c r="K20" s="151"/>
    </row>
    <row r="21" spans="2:11" ht="27.95" customHeight="1">
      <c r="B21" s="144"/>
      <c r="C21" s="145"/>
      <c r="D21" s="152"/>
      <c r="E21" s="146"/>
      <c r="F21" s="146"/>
      <c r="G21" s="147"/>
      <c r="H21" s="148"/>
      <c r="I21" s="149"/>
      <c r="J21" s="150"/>
      <c r="K21" s="151"/>
    </row>
    <row r="22" spans="2:11" ht="27.95" customHeight="1">
      <c r="B22" s="144"/>
      <c r="C22" s="145"/>
      <c r="D22" s="152"/>
      <c r="E22" s="146"/>
      <c r="F22" s="146"/>
      <c r="G22" s="147"/>
      <c r="H22" s="148"/>
      <c r="I22" s="149"/>
      <c r="J22" s="150"/>
      <c r="K22" s="151"/>
    </row>
    <row r="23" spans="2:11" ht="27.95" customHeight="1">
      <c r="B23" s="144"/>
      <c r="C23" s="145"/>
      <c r="D23" s="152"/>
      <c r="E23" s="146"/>
      <c r="F23" s="146"/>
      <c r="G23" s="147"/>
      <c r="H23" s="148"/>
      <c r="I23" s="149"/>
      <c r="J23" s="150"/>
      <c r="K23" s="151"/>
    </row>
    <row r="24" spans="2:11" ht="27.95" customHeight="1">
      <c r="B24" s="144"/>
      <c r="C24" s="145"/>
      <c r="D24" s="152"/>
      <c r="E24" s="146"/>
      <c r="F24" s="146"/>
      <c r="G24" s="147"/>
      <c r="H24" s="148"/>
      <c r="I24" s="149"/>
      <c r="J24" s="150"/>
      <c r="K24" s="151"/>
    </row>
    <row r="25" spans="2:11" ht="27.95" customHeight="1">
      <c r="B25" s="144"/>
      <c r="C25" s="145"/>
      <c r="D25" s="145"/>
      <c r="E25" s="146"/>
      <c r="F25" s="146"/>
      <c r="G25" s="147"/>
      <c r="H25" s="148"/>
      <c r="I25" s="149"/>
      <c r="J25" s="150"/>
      <c r="K25" s="151"/>
    </row>
    <row r="26" spans="2:11" ht="27.95" customHeight="1">
      <c r="B26" s="133"/>
      <c r="C26" s="134" t="s">
        <v>201</v>
      </c>
      <c r="D26" s="135"/>
      <c r="E26" s="135"/>
      <c r="F26" s="135"/>
      <c r="G26" s="135"/>
      <c r="H26" s="135"/>
      <c r="I26" s="135"/>
      <c r="J26" s="135"/>
      <c r="K26" s="136">
        <f>ROUND(SUM(K7:K25),0)</f>
        <v>0</v>
      </c>
    </row>
    <row r="27" spans="2:11" ht="27.95" customHeight="1">
      <c r="B27" s="137"/>
      <c r="C27" s="138"/>
      <c r="D27" s="138"/>
      <c r="E27" s="138"/>
      <c r="F27" s="138"/>
      <c r="G27" s="139"/>
      <c r="H27" s="129"/>
      <c r="I27" s="130"/>
      <c r="J27" s="131"/>
      <c r="K27" s="132"/>
    </row>
    <row r="28" spans="2:11" ht="37.5" customHeight="1" thickBot="1">
      <c r="B28" s="140" t="s">
        <v>202</v>
      </c>
      <c r="C28" s="141"/>
      <c r="D28" s="142"/>
      <c r="E28" s="142"/>
      <c r="F28" s="142"/>
      <c r="G28" s="142"/>
      <c r="H28" s="142"/>
      <c r="I28" s="142"/>
      <c r="J28" s="142"/>
      <c r="K28" s="143">
        <f>SUM(K26)</f>
        <v>0</v>
      </c>
    </row>
    <row r="29" spans="2:11" ht="69.599999999999994" customHeight="1" thickBot="1">
      <c r="B29" s="196" t="s">
        <v>203</v>
      </c>
      <c r="C29" s="197"/>
      <c r="D29" s="197"/>
      <c r="E29" s="197"/>
      <c r="F29" s="197"/>
      <c r="G29" s="197"/>
      <c r="H29" s="197"/>
      <c r="I29" s="197"/>
      <c r="J29" s="197"/>
      <c r="K29" s="198"/>
    </row>
    <row r="30" spans="2:11" ht="120" customHeight="1"/>
    <row r="31" spans="2:11" ht="9.9499999999999993" customHeight="1"/>
  </sheetData>
  <mergeCells count="4">
    <mergeCell ref="B2:K2"/>
    <mergeCell ref="B4:C4"/>
    <mergeCell ref="D4:K4"/>
    <mergeCell ref="B29:K29"/>
  </mergeCells>
  <phoneticPr fontId="28" type="noConversion"/>
  <pageMargins left="0.70866141732283472" right="0.70866141732283472" top="0.74803149606299213" bottom="0.74803149606299213" header="0.31496062992125984" footer="0.31496062992125984"/>
  <pageSetup paperSize="9" scale="76" fitToHeight="10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L100"/>
  <sheetViews>
    <sheetView zoomScaleNormal="100" zoomScaleSheetLayoutView="115" workbookViewId="0">
      <selection activeCell="F9" sqref="F9:K9"/>
    </sheetView>
  </sheetViews>
  <sheetFormatPr defaultColWidth="9" defaultRowHeight="16.5"/>
  <cols>
    <col min="1" max="1" width="1.625" customWidth="1"/>
    <col min="2" max="2" width="10.625" customWidth="1"/>
    <col min="3" max="3" width="20.625" customWidth="1"/>
    <col min="4" max="11" width="10.625" customWidth="1"/>
    <col min="12" max="12" width="1.625" customWidth="1"/>
  </cols>
  <sheetData>
    <row r="1" spans="2:12" ht="9.9499999999999993" customHeight="1"/>
    <row r="2" spans="2:12" ht="27" thickBot="1">
      <c r="B2" s="289" t="s">
        <v>204</v>
      </c>
      <c r="C2" s="289"/>
      <c r="D2" s="289"/>
      <c r="E2" s="289"/>
      <c r="F2" s="289"/>
      <c r="G2" s="289"/>
      <c r="H2" s="94"/>
    </row>
    <row r="3" spans="2:12">
      <c r="B3" s="32" t="s">
        <v>205</v>
      </c>
      <c r="C3" s="33" t="s">
        <v>206</v>
      </c>
      <c r="D3" s="34" t="s">
        <v>207</v>
      </c>
      <c r="E3" s="35" t="s">
        <v>208</v>
      </c>
      <c r="F3" s="290" t="s">
        <v>209</v>
      </c>
      <c r="G3" s="290"/>
      <c r="H3" s="290" t="s">
        <v>210</v>
      </c>
      <c r="I3" s="290"/>
      <c r="J3" s="290"/>
      <c r="K3" s="309"/>
    </row>
    <row r="4" spans="2:12">
      <c r="B4" s="36" t="s">
        <v>211</v>
      </c>
      <c r="C4" s="37">
        <v>10000000</v>
      </c>
      <c r="D4" s="38"/>
      <c r="E4" s="39" t="s">
        <v>212</v>
      </c>
      <c r="F4" s="40">
        <v>2.7200000000000002E-3</v>
      </c>
      <c r="G4" s="41" t="s">
        <v>213</v>
      </c>
      <c r="H4" s="291" t="s">
        <v>214</v>
      </c>
      <c r="I4" s="291"/>
      <c r="J4" s="291"/>
      <c r="K4" s="292"/>
    </row>
    <row r="5" spans="2:12">
      <c r="B5" s="42" t="s">
        <v>215</v>
      </c>
      <c r="C5" s="37">
        <v>6500000</v>
      </c>
      <c r="D5" s="38"/>
      <c r="E5" s="43" t="s">
        <v>216</v>
      </c>
      <c r="F5" s="44" t="s">
        <v>217</v>
      </c>
      <c r="G5" s="45" t="s">
        <v>218</v>
      </c>
      <c r="H5" s="46" t="s">
        <v>219</v>
      </c>
      <c r="I5" s="45" t="s">
        <v>220</v>
      </c>
      <c r="J5" s="46" t="s">
        <v>221</v>
      </c>
      <c r="K5" s="47" t="s">
        <v>222</v>
      </c>
    </row>
    <row r="6" spans="2:12">
      <c r="B6" s="42" t="s">
        <v>223</v>
      </c>
      <c r="C6" s="37">
        <v>5400000</v>
      </c>
      <c r="D6" s="38"/>
      <c r="E6" s="48" t="s">
        <v>224</v>
      </c>
      <c r="F6" s="49" t="s">
        <v>225</v>
      </c>
      <c r="G6" s="50" t="s">
        <v>226</v>
      </c>
      <c r="H6" s="51" t="s">
        <v>227</v>
      </c>
      <c r="I6" s="50" t="s">
        <v>228</v>
      </c>
      <c r="J6" s="51" t="s">
        <v>229</v>
      </c>
      <c r="K6" s="52" t="s">
        <v>230</v>
      </c>
    </row>
    <row r="7" spans="2:12">
      <c r="B7" s="42" t="s">
        <v>231</v>
      </c>
      <c r="C7" s="37">
        <v>4300000</v>
      </c>
      <c r="D7" s="38"/>
      <c r="E7" s="39" t="s">
        <v>232</v>
      </c>
      <c r="F7" s="40">
        <v>1.1509999999999999E-2</v>
      </c>
      <c r="G7" s="41" t="s">
        <v>233</v>
      </c>
      <c r="H7" s="291" t="s">
        <v>234</v>
      </c>
      <c r="I7" s="291"/>
      <c r="J7" s="291"/>
      <c r="K7" s="292"/>
    </row>
    <row r="8" spans="2:12">
      <c r="B8" s="42" t="s">
        <v>235</v>
      </c>
      <c r="C8" s="37">
        <v>3500000</v>
      </c>
      <c r="D8" s="38"/>
      <c r="E8" s="39" t="s">
        <v>236</v>
      </c>
      <c r="F8" s="40">
        <v>2.0400000000000001E-3</v>
      </c>
      <c r="G8" s="41" t="s">
        <v>213</v>
      </c>
      <c r="H8" s="293" t="s">
        <v>237</v>
      </c>
      <c r="I8" s="294"/>
      <c r="J8" s="294"/>
      <c r="K8" s="295"/>
    </row>
    <row r="9" spans="2:12" ht="17.25" thickBot="1">
      <c r="B9" s="53" t="s">
        <v>238</v>
      </c>
      <c r="C9" s="54">
        <v>2900000</v>
      </c>
      <c r="D9" s="55"/>
      <c r="E9" s="56" t="s">
        <v>239</v>
      </c>
      <c r="F9" s="296" t="s">
        <v>240</v>
      </c>
      <c r="G9" s="297"/>
      <c r="H9" s="297"/>
      <c r="I9" s="297"/>
      <c r="J9" s="297"/>
      <c r="K9" s="298"/>
    </row>
    <row r="10" spans="2:12" ht="17.25" thickBot="1">
      <c r="B10" s="57"/>
      <c r="C10" s="57"/>
      <c r="D10" s="57"/>
    </row>
    <row r="11" spans="2:12" ht="17.25" thickBot="1">
      <c r="B11" s="299" t="s">
        <v>241</v>
      </c>
      <c r="C11" s="300"/>
      <c r="D11" s="301" t="s">
        <v>242</v>
      </c>
      <c r="E11" s="302"/>
      <c r="F11" s="302"/>
      <c r="G11" s="302"/>
      <c r="H11" s="302"/>
      <c r="I11" s="302"/>
      <c r="J11" s="302"/>
      <c r="K11" s="303"/>
    </row>
    <row r="12" spans="2:12" ht="17.25" thickTop="1">
      <c r="B12" s="304" t="s">
        <v>243</v>
      </c>
      <c r="C12" s="305"/>
      <c r="D12" s="306" t="s">
        <v>244</v>
      </c>
      <c r="E12" s="307"/>
      <c r="F12" s="307"/>
      <c r="G12" s="307"/>
      <c r="H12" s="307"/>
      <c r="I12" s="307"/>
      <c r="J12" s="307"/>
      <c r="K12" s="308"/>
      <c r="L12" s="57"/>
    </row>
    <row r="13" spans="2:12">
      <c r="B13" s="269" t="s">
        <v>245</v>
      </c>
      <c r="C13" s="270"/>
      <c r="D13" s="271" t="s">
        <v>245</v>
      </c>
      <c r="E13" s="272"/>
      <c r="F13" s="272"/>
      <c r="G13" s="272"/>
      <c r="H13" s="272"/>
      <c r="I13" s="272"/>
      <c r="J13" s="272"/>
      <c r="K13" s="273"/>
    </row>
    <row r="14" spans="2:12">
      <c r="B14" s="269" t="s">
        <v>246</v>
      </c>
      <c r="C14" s="270"/>
      <c r="D14" s="271" t="s">
        <v>246</v>
      </c>
      <c r="E14" s="272"/>
      <c r="F14" s="272"/>
      <c r="G14" s="272"/>
      <c r="H14" s="272"/>
      <c r="I14" s="272"/>
      <c r="J14" s="272"/>
      <c r="K14" s="273"/>
    </row>
    <row r="15" spans="2:12">
      <c r="B15" s="269" t="s">
        <v>247</v>
      </c>
      <c r="C15" s="270"/>
      <c r="D15" s="271" t="s">
        <v>248</v>
      </c>
      <c r="E15" s="272"/>
      <c r="F15" s="272"/>
      <c r="G15" s="272"/>
      <c r="H15" s="272"/>
      <c r="I15" s="272"/>
      <c r="J15" s="272"/>
      <c r="K15" s="273"/>
    </row>
    <row r="16" spans="2:12">
      <c r="B16" s="269" t="s">
        <v>249</v>
      </c>
      <c r="C16" s="270"/>
      <c r="D16" s="271" t="s">
        <v>250</v>
      </c>
      <c r="E16" s="272"/>
      <c r="F16" s="272"/>
      <c r="G16" s="272"/>
      <c r="H16" s="272"/>
      <c r="I16" s="272"/>
      <c r="J16" s="272"/>
      <c r="K16" s="273"/>
    </row>
    <row r="17" spans="2:11">
      <c r="B17" s="269" t="s">
        <v>251</v>
      </c>
      <c r="C17" s="270"/>
      <c r="D17" s="271" t="s">
        <v>252</v>
      </c>
      <c r="E17" s="272"/>
      <c r="F17" s="272"/>
      <c r="G17" s="272"/>
      <c r="H17" s="272"/>
      <c r="I17" s="272"/>
      <c r="J17" s="272"/>
      <c r="K17" s="273"/>
    </row>
    <row r="18" spans="2:11">
      <c r="B18" s="269" t="s">
        <v>253</v>
      </c>
      <c r="C18" s="270"/>
      <c r="D18" s="271" t="s">
        <v>254</v>
      </c>
      <c r="E18" s="272"/>
      <c r="F18" s="272"/>
      <c r="G18" s="272"/>
      <c r="H18" s="272"/>
      <c r="I18" s="272"/>
      <c r="J18" s="272"/>
      <c r="K18" s="273"/>
    </row>
    <row r="19" spans="2:11">
      <c r="B19" s="269" t="s">
        <v>255</v>
      </c>
      <c r="C19" s="270"/>
      <c r="D19" s="271" t="s">
        <v>256</v>
      </c>
      <c r="E19" s="272"/>
      <c r="F19" s="272"/>
      <c r="G19" s="272"/>
      <c r="H19" s="272"/>
      <c r="I19" s="272"/>
      <c r="J19" s="272"/>
      <c r="K19" s="273"/>
    </row>
    <row r="20" spans="2:11">
      <c r="B20" s="269" t="s">
        <v>257</v>
      </c>
      <c r="C20" s="270"/>
      <c r="D20" s="271" t="s">
        <v>258</v>
      </c>
      <c r="E20" s="272"/>
      <c r="F20" s="272"/>
      <c r="G20" s="272"/>
      <c r="H20" s="272"/>
      <c r="I20" s="272"/>
      <c r="J20" s="272"/>
      <c r="K20" s="273"/>
    </row>
    <row r="21" spans="2:11">
      <c r="B21" s="269" t="s">
        <v>259</v>
      </c>
      <c r="C21" s="270"/>
      <c r="D21" s="271" t="s">
        <v>260</v>
      </c>
      <c r="E21" s="272"/>
      <c r="F21" s="272"/>
      <c r="G21" s="272"/>
      <c r="H21" s="272"/>
      <c r="I21" s="272"/>
      <c r="J21" s="272"/>
      <c r="K21" s="273"/>
    </row>
    <row r="22" spans="2:11" ht="17.25" thickBot="1">
      <c r="B22" s="274" t="s">
        <v>261</v>
      </c>
      <c r="C22" s="275"/>
      <c r="D22" s="276" t="s">
        <v>262</v>
      </c>
      <c r="E22" s="277"/>
      <c r="F22" s="277"/>
      <c r="G22" s="277"/>
      <c r="H22" s="277"/>
      <c r="I22" s="277"/>
      <c r="J22" s="277"/>
      <c r="K22" s="278"/>
    </row>
    <row r="23" spans="2:11" ht="17.25" thickBot="1"/>
    <row r="24" spans="2:11" s="97" customFormat="1" ht="12">
      <c r="B24" s="95" t="s">
        <v>263</v>
      </c>
      <c r="C24" s="96" t="s">
        <v>264</v>
      </c>
      <c r="D24" s="279" t="s">
        <v>36</v>
      </c>
      <c r="E24" s="279"/>
      <c r="F24" s="280" t="s">
        <v>265</v>
      </c>
      <c r="G24" s="280"/>
      <c r="H24" s="280"/>
      <c r="I24" s="280"/>
      <c r="J24" s="280"/>
      <c r="K24" s="281"/>
    </row>
    <row r="25" spans="2:11" s="97" customFormat="1" ht="12.75" thickBot="1">
      <c r="B25" s="98" t="s">
        <v>266</v>
      </c>
      <c r="C25" s="99" t="s">
        <v>267</v>
      </c>
      <c r="D25" s="282" t="s">
        <v>266</v>
      </c>
      <c r="E25" s="282"/>
      <c r="F25" s="283" t="s">
        <v>268</v>
      </c>
      <c r="G25" s="283"/>
      <c r="H25" s="283"/>
      <c r="I25" s="283"/>
      <c r="J25" s="283"/>
      <c r="K25" s="284"/>
    </row>
    <row r="26" spans="2:11" s="97" customFormat="1" ht="12.75" thickTop="1">
      <c r="B26" s="285" t="s">
        <v>269</v>
      </c>
      <c r="C26" s="286" t="s">
        <v>39</v>
      </c>
      <c r="D26" s="264" t="s">
        <v>40</v>
      </c>
      <c r="E26" s="264"/>
      <c r="F26" s="287" t="s">
        <v>270</v>
      </c>
      <c r="G26" s="287"/>
      <c r="H26" s="287"/>
      <c r="I26" s="287"/>
      <c r="J26" s="287"/>
      <c r="K26" s="288"/>
    </row>
    <row r="27" spans="2:11" s="97" customFormat="1" ht="12">
      <c r="B27" s="266"/>
      <c r="C27" s="262"/>
      <c r="D27" s="225" t="s">
        <v>42</v>
      </c>
      <c r="E27" s="225"/>
      <c r="F27" s="233" t="s">
        <v>271</v>
      </c>
      <c r="G27" s="233"/>
      <c r="H27" s="233"/>
      <c r="I27" s="233"/>
      <c r="J27" s="233"/>
      <c r="K27" s="234"/>
    </row>
    <row r="28" spans="2:11" s="97" customFormat="1" ht="12">
      <c r="B28" s="266"/>
      <c r="C28" s="262"/>
      <c r="D28" s="225" t="s">
        <v>44</v>
      </c>
      <c r="E28" s="225"/>
      <c r="F28" s="233" t="s">
        <v>272</v>
      </c>
      <c r="G28" s="233"/>
      <c r="H28" s="233"/>
      <c r="I28" s="233"/>
      <c r="J28" s="233"/>
      <c r="K28" s="234"/>
    </row>
    <row r="29" spans="2:11" s="97" customFormat="1" ht="12">
      <c r="B29" s="266"/>
      <c r="C29" s="262"/>
      <c r="D29" s="225" t="s">
        <v>46</v>
      </c>
      <c r="E29" s="225"/>
      <c r="F29" s="233" t="s">
        <v>273</v>
      </c>
      <c r="G29" s="233"/>
      <c r="H29" s="233"/>
      <c r="I29" s="233"/>
      <c r="J29" s="233"/>
      <c r="K29" s="234"/>
    </row>
    <row r="30" spans="2:11" s="97" customFormat="1" ht="12">
      <c r="B30" s="266"/>
      <c r="C30" s="263"/>
      <c r="D30" s="229" t="s">
        <v>48</v>
      </c>
      <c r="E30" s="229"/>
      <c r="F30" s="235" t="s">
        <v>274</v>
      </c>
      <c r="G30" s="235"/>
      <c r="H30" s="235"/>
      <c r="I30" s="235"/>
      <c r="J30" s="235"/>
      <c r="K30" s="236"/>
    </row>
    <row r="31" spans="2:11" s="97" customFormat="1" ht="12">
      <c r="B31" s="266"/>
      <c r="C31" s="261" t="s">
        <v>50</v>
      </c>
      <c r="D31" s="222" t="s">
        <v>51</v>
      </c>
      <c r="E31" s="222"/>
      <c r="F31" s="223"/>
      <c r="G31" s="223"/>
      <c r="H31" s="223"/>
      <c r="I31" s="223"/>
      <c r="J31" s="223"/>
      <c r="K31" s="224"/>
    </row>
    <row r="32" spans="2:11" s="97" customFormat="1" ht="12">
      <c r="B32" s="266"/>
      <c r="C32" s="262"/>
      <c r="D32" s="225" t="s">
        <v>53</v>
      </c>
      <c r="E32" s="225"/>
      <c r="F32" s="233"/>
      <c r="G32" s="233"/>
      <c r="H32" s="233"/>
      <c r="I32" s="233"/>
      <c r="J32" s="233"/>
      <c r="K32" s="234"/>
    </row>
    <row r="33" spans="2:12" s="97" customFormat="1" ht="12">
      <c r="B33" s="266"/>
      <c r="C33" s="263"/>
      <c r="D33" s="229" t="s">
        <v>54</v>
      </c>
      <c r="E33" s="229"/>
      <c r="F33" s="235"/>
      <c r="G33" s="235"/>
      <c r="H33" s="235"/>
      <c r="I33" s="235"/>
      <c r="J33" s="235"/>
      <c r="K33" s="236"/>
    </row>
    <row r="34" spans="2:12" s="97" customFormat="1" ht="17.45" customHeight="1">
      <c r="B34" s="266"/>
      <c r="C34" s="261" t="s">
        <v>55</v>
      </c>
      <c r="D34" s="222" t="s">
        <v>56</v>
      </c>
      <c r="E34" s="222"/>
      <c r="F34" s="237" t="s">
        <v>275</v>
      </c>
      <c r="G34" s="238"/>
      <c r="H34" s="238"/>
      <c r="I34" s="238"/>
      <c r="J34" s="238"/>
      <c r="K34" s="239"/>
    </row>
    <row r="35" spans="2:12" s="97" customFormat="1" ht="17.45" customHeight="1">
      <c r="B35" s="266"/>
      <c r="C35" s="262"/>
      <c r="D35" s="225" t="s">
        <v>58</v>
      </c>
      <c r="E35" s="225"/>
      <c r="F35" s="226" t="s">
        <v>276</v>
      </c>
      <c r="G35" s="227"/>
      <c r="H35" s="227"/>
      <c r="I35" s="227"/>
      <c r="J35" s="227"/>
      <c r="K35" s="228"/>
    </row>
    <row r="36" spans="2:12" s="97" customFormat="1" ht="17.45" customHeight="1">
      <c r="B36" s="266"/>
      <c r="C36" s="262"/>
      <c r="D36" s="225" t="s">
        <v>60</v>
      </c>
      <c r="E36" s="225"/>
      <c r="F36" s="226" t="s">
        <v>277</v>
      </c>
      <c r="G36" s="227"/>
      <c r="H36" s="227"/>
      <c r="I36" s="227"/>
      <c r="J36" s="227"/>
      <c r="K36" s="228"/>
    </row>
    <row r="37" spans="2:12" s="97" customFormat="1" ht="17.45" customHeight="1">
      <c r="B37" s="267"/>
      <c r="C37" s="263"/>
      <c r="D37" s="229" t="s">
        <v>62</v>
      </c>
      <c r="E37" s="229"/>
      <c r="F37" s="230" t="s">
        <v>278</v>
      </c>
      <c r="G37" s="231"/>
      <c r="H37" s="231"/>
      <c r="I37" s="231"/>
      <c r="J37" s="231"/>
      <c r="K37" s="232"/>
      <c r="L37" s="124"/>
    </row>
    <row r="38" spans="2:12" s="97" customFormat="1" ht="12">
      <c r="B38" s="265" t="s">
        <v>279</v>
      </c>
      <c r="C38" s="268" t="s">
        <v>64</v>
      </c>
      <c r="D38" s="222" t="s">
        <v>65</v>
      </c>
      <c r="E38" s="222"/>
      <c r="F38" s="223"/>
      <c r="G38" s="223"/>
      <c r="H38" s="223"/>
      <c r="I38" s="223"/>
      <c r="J38" s="223"/>
      <c r="K38" s="224"/>
    </row>
    <row r="39" spans="2:12" s="97" customFormat="1" ht="12">
      <c r="B39" s="266"/>
      <c r="C39" s="262"/>
      <c r="D39" s="225" t="s">
        <v>67</v>
      </c>
      <c r="E39" s="225"/>
      <c r="F39" s="233"/>
      <c r="G39" s="233"/>
      <c r="H39" s="233"/>
      <c r="I39" s="233"/>
      <c r="J39" s="233"/>
      <c r="K39" s="234"/>
    </row>
    <row r="40" spans="2:12" s="97" customFormat="1" ht="12">
      <c r="B40" s="266"/>
      <c r="C40" s="262"/>
      <c r="D40" s="225" t="s">
        <v>68</v>
      </c>
      <c r="E40" s="225"/>
      <c r="F40" s="233"/>
      <c r="G40" s="233"/>
      <c r="H40" s="233"/>
      <c r="I40" s="233"/>
      <c r="J40" s="233"/>
      <c r="K40" s="234"/>
    </row>
    <row r="41" spans="2:12" s="97" customFormat="1" ht="12">
      <c r="B41" s="266"/>
      <c r="C41" s="262"/>
      <c r="D41" s="225" t="s">
        <v>70</v>
      </c>
      <c r="E41" s="225"/>
      <c r="F41" s="233"/>
      <c r="G41" s="233"/>
      <c r="H41" s="233"/>
      <c r="I41" s="233"/>
      <c r="J41" s="233"/>
      <c r="K41" s="234"/>
    </row>
    <row r="42" spans="2:12" s="97" customFormat="1" ht="12">
      <c r="B42" s="266"/>
      <c r="C42" s="262"/>
      <c r="D42" s="225" t="s">
        <v>72</v>
      </c>
      <c r="E42" s="225"/>
      <c r="F42" s="233"/>
      <c r="G42" s="233"/>
      <c r="H42" s="233"/>
      <c r="I42" s="233"/>
      <c r="J42" s="233"/>
      <c r="K42" s="234"/>
    </row>
    <row r="43" spans="2:12" s="97" customFormat="1" ht="12">
      <c r="B43" s="266"/>
      <c r="C43" s="262"/>
      <c r="D43" s="225" t="s">
        <v>74</v>
      </c>
      <c r="E43" s="225"/>
      <c r="F43" s="233"/>
      <c r="G43" s="233"/>
      <c r="H43" s="233"/>
      <c r="I43" s="233"/>
      <c r="J43" s="233"/>
      <c r="K43" s="234"/>
    </row>
    <row r="44" spans="2:12" s="97" customFormat="1" ht="12">
      <c r="B44" s="266"/>
      <c r="C44" s="262"/>
      <c r="D44" s="225" t="s">
        <v>76</v>
      </c>
      <c r="E44" s="225"/>
      <c r="F44" s="233"/>
      <c r="G44" s="233"/>
      <c r="H44" s="233"/>
      <c r="I44" s="233"/>
      <c r="J44" s="233"/>
      <c r="K44" s="234"/>
    </row>
    <row r="45" spans="2:12" s="97" customFormat="1" ht="12">
      <c r="B45" s="266"/>
      <c r="C45" s="263"/>
      <c r="D45" s="229" t="s">
        <v>78</v>
      </c>
      <c r="E45" s="229"/>
      <c r="F45" s="235"/>
      <c r="G45" s="235"/>
      <c r="H45" s="235"/>
      <c r="I45" s="235"/>
      <c r="J45" s="235"/>
      <c r="K45" s="236"/>
    </row>
    <row r="46" spans="2:12" s="97" customFormat="1" ht="12">
      <c r="B46" s="266"/>
      <c r="C46" s="261" t="s">
        <v>80</v>
      </c>
      <c r="D46" s="222" t="s">
        <v>81</v>
      </c>
      <c r="E46" s="222"/>
      <c r="F46" s="223"/>
      <c r="G46" s="223"/>
      <c r="H46" s="223"/>
      <c r="I46" s="223"/>
      <c r="J46" s="223"/>
      <c r="K46" s="224"/>
    </row>
    <row r="47" spans="2:12" s="97" customFormat="1" ht="12">
      <c r="B47" s="266"/>
      <c r="C47" s="262"/>
      <c r="D47" s="225" t="s">
        <v>83</v>
      </c>
      <c r="E47" s="225"/>
      <c r="F47" s="233"/>
      <c r="G47" s="233"/>
      <c r="H47" s="233"/>
      <c r="I47" s="233"/>
      <c r="J47" s="233"/>
      <c r="K47" s="234"/>
    </row>
    <row r="48" spans="2:12" s="97" customFormat="1" ht="12">
      <c r="B48" s="266"/>
      <c r="C48" s="262"/>
      <c r="D48" s="225" t="s">
        <v>85</v>
      </c>
      <c r="E48" s="225"/>
      <c r="F48" s="233"/>
      <c r="G48" s="233"/>
      <c r="H48" s="233"/>
      <c r="I48" s="233"/>
      <c r="J48" s="233"/>
      <c r="K48" s="234"/>
    </row>
    <row r="49" spans="2:11" s="97" customFormat="1" ht="12">
      <c r="B49" s="266"/>
      <c r="C49" s="262"/>
      <c r="D49" s="225" t="s">
        <v>87</v>
      </c>
      <c r="E49" s="225"/>
      <c r="F49" s="233"/>
      <c r="G49" s="233"/>
      <c r="H49" s="233"/>
      <c r="I49" s="233"/>
      <c r="J49" s="233"/>
      <c r="K49" s="234"/>
    </row>
    <row r="50" spans="2:11" s="97" customFormat="1" ht="17.45" customHeight="1">
      <c r="B50" s="266"/>
      <c r="C50" s="262"/>
      <c r="D50" s="225" t="s">
        <v>89</v>
      </c>
      <c r="E50" s="225"/>
      <c r="F50" s="233"/>
      <c r="G50" s="233"/>
      <c r="H50" s="233"/>
      <c r="I50" s="233"/>
      <c r="J50" s="233"/>
      <c r="K50" s="234"/>
    </row>
    <row r="51" spans="2:11" s="97" customFormat="1" ht="12">
      <c r="B51" s="267"/>
      <c r="C51" s="263"/>
      <c r="D51" s="229" t="s">
        <v>91</v>
      </c>
      <c r="E51" s="229"/>
      <c r="F51" s="235"/>
      <c r="G51" s="235"/>
      <c r="H51" s="235"/>
      <c r="I51" s="235"/>
      <c r="J51" s="235"/>
      <c r="K51" s="236"/>
    </row>
    <row r="52" spans="2:11" s="97" customFormat="1" ht="12">
      <c r="B52" s="265" t="s">
        <v>280</v>
      </c>
      <c r="C52" s="261" t="s">
        <v>93</v>
      </c>
      <c r="D52" s="222" t="s">
        <v>94</v>
      </c>
      <c r="E52" s="222"/>
      <c r="F52" s="223"/>
      <c r="G52" s="223"/>
      <c r="H52" s="223"/>
      <c r="I52" s="223"/>
      <c r="J52" s="223"/>
      <c r="K52" s="224"/>
    </row>
    <row r="53" spans="2:11" s="97" customFormat="1" ht="12">
      <c r="B53" s="266"/>
      <c r="C53" s="262"/>
      <c r="D53" s="225" t="s">
        <v>96</v>
      </c>
      <c r="E53" s="225"/>
      <c r="F53" s="233"/>
      <c r="G53" s="233"/>
      <c r="H53" s="233"/>
      <c r="I53" s="233"/>
      <c r="J53" s="233"/>
      <c r="K53" s="234"/>
    </row>
    <row r="54" spans="2:11" s="97" customFormat="1" ht="12">
      <c r="B54" s="266"/>
      <c r="C54" s="263"/>
      <c r="D54" s="229" t="s">
        <v>98</v>
      </c>
      <c r="E54" s="229"/>
      <c r="F54" s="235"/>
      <c r="G54" s="235"/>
      <c r="H54" s="235"/>
      <c r="I54" s="235"/>
      <c r="J54" s="235"/>
      <c r="K54" s="236"/>
    </row>
    <row r="55" spans="2:11" s="97" customFormat="1" ht="12">
      <c r="B55" s="266"/>
      <c r="C55" s="268" t="s">
        <v>100</v>
      </c>
      <c r="D55" s="222" t="s">
        <v>101</v>
      </c>
      <c r="E55" s="222"/>
      <c r="F55" s="223"/>
      <c r="G55" s="223"/>
      <c r="H55" s="223"/>
      <c r="I55" s="223"/>
      <c r="J55" s="223"/>
      <c r="K55" s="224"/>
    </row>
    <row r="56" spans="2:11" s="97" customFormat="1" ht="12">
      <c r="B56" s="266"/>
      <c r="C56" s="263"/>
      <c r="D56" s="229" t="s">
        <v>103</v>
      </c>
      <c r="E56" s="229"/>
      <c r="F56" s="235"/>
      <c r="G56" s="235"/>
      <c r="H56" s="235"/>
      <c r="I56" s="235"/>
      <c r="J56" s="235"/>
      <c r="K56" s="236"/>
    </row>
    <row r="57" spans="2:11" s="97" customFormat="1" ht="12">
      <c r="B57" s="266"/>
      <c r="C57" s="268" t="s">
        <v>105</v>
      </c>
      <c r="D57" s="222" t="s">
        <v>106</v>
      </c>
      <c r="E57" s="222"/>
      <c r="F57" s="223" t="s">
        <v>281</v>
      </c>
      <c r="G57" s="223"/>
      <c r="H57" s="223"/>
      <c r="I57" s="223"/>
      <c r="J57" s="223"/>
      <c r="K57" s="224"/>
    </row>
    <row r="58" spans="2:11" s="97" customFormat="1" ht="12">
      <c r="B58" s="266"/>
      <c r="C58" s="262"/>
      <c r="D58" s="225" t="s">
        <v>108</v>
      </c>
      <c r="E58" s="225"/>
      <c r="F58" s="233" t="s">
        <v>282</v>
      </c>
      <c r="G58" s="233"/>
      <c r="H58" s="233"/>
      <c r="I58" s="233"/>
      <c r="J58" s="233"/>
      <c r="K58" s="234"/>
    </row>
    <row r="59" spans="2:11" s="97" customFormat="1" ht="12">
      <c r="B59" s="266"/>
      <c r="C59" s="263"/>
      <c r="D59" s="229" t="s">
        <v>110</v>
      </c>
      <c r="E59" s="229"/>
      <c r="F59" s="235" t="s">
        <v>283</v>
      </c>
      <c r="G59" s="235"/>
      <c r="H59" s="235"/>
      <c r="I59" s="235"/>
      <c r="J59" s="235"/>
      <c r="K59" s="236"/>
    </row>
    <row r="60" spans="2:11" s="97" customFormat="1" ht="12">
      <c r="B60" s="266"/>
      <c r="C60" s="261" t="s">
        <v>112</v>
      </c>
      <c r="D60" s="222" t="s">
        <v>113</v>
      </c>
      <c r="E60" s="222"/>
      <c r="F60" s="223"/>
      <c r="G60" s="223"/>
      <c r="H60" s="223"/>
      <c r="I60" s="223"/>
      <c r="J60" s="223"/>
      <c r="K60" s="224"/>
    </row>
    <row r="61" spans="2:11" s="97" customFormat="1" ht="12">
      <c r="B61" s="266"/>
      <c r="C61" s="263"/>
      <c r="D61" s="229" t="s">
        <v>115</v>
      </c>
      <c r="E61" s="229"/>
      <c r="F61" s="235"/>
      <c r="G61" s="235"/>
      <c r="H61" s="235"/>
      <c r="I61" s="235"/>
      <c r="J61" s="235"/>
      <c r="K61" s="236"/>
    </row>
    <row r="62" spans="2:11" s="97" customFormat="1" ht="12">
      <c r="B62" s="266"/>
      <c r="C62" s="261" t="s">
        <v>117</v>
      </c>
      <c r="D62" s="222" t="s">
        <v>118</v>
      </c>
      <c r="E62" s="222"/>
      <c r="F62" s="223"/>
      <c r="G62" s="223"/>
      <c r="H62" s="223"/>
      <c r="I62" s="223"/>
      <c r="J62" s="223"/>
      <c r="K62" s="224"/>
    </row>
    <row r="63" spans="2:11" s="97" customFormat="1" ht="12">
      <c r="B63" s="266"/>
      <c r="C63" s="262"/>
      <c r="D63" s="225" t="s">
        <v>120</v>
      </c>
      <c r="E63" s="225"/>
      <c r="F63" s="233"/>
      <c r="G63" s="233"/>
      <c r="H63" s="233"/>
      <c r="I63" s="233"/>
      <c r="J63" s="233"/>
      <c r="K63" s="234"/>
    </row>
    <row r="64" spans="2:11" s="97" customFormat="1" ht="12">
      <c r="B64" s="266"/>
      <c r="C64" s="262"/>
      <c r="D64" s="225" t="s">
        <v>122</v>
      </c>
      <c r="E64" s="225"/>
      <c r="F64" s="233"/>
      <c r="G64" s="233"/>
      <c r="H64" s="233"/>
      <c r="I64" s="233"/>
      <c r="J64" s="233"/>
      <c r="K64" s="234"/>
    </row>
    <row r="65" spans="2:11" s="97" customFormat="1" ht="12">
      <c r="B65" s="266"/>
      <c r="C65" s="263"/>
      <c r="D65" s="229" t="s">
        <v>124</v>
      </c>
      <c r="E65" s="229"/>
      <c r="F65" s="235"/>
      <c r="G65" s="235"/>
      <c r="H65" s="235"/>
      <c r="I65" s="235"/>
      <c r="J65" s="235"/>
      <c r="K65" s="236"/>
    </row>
    <row r="66" spans="2:11" s="97" customFormat="1" ht="12">
      <c r="B66" s="266"/>
      <c r="C66" s="261" t="s">
        <v>126</v>
      </c>
      <c r="D66" s="222" t="s">
        <v>127</v>
      </c>
      <c r="E66" s="222"/>
      <c r="F66" s="223" t="s">
        <v>284</v>
      </c>
      <c r="G66" s="223"/>
      <c r="H66" s="223"/>
      <c r="I66" s="223"/>
      <c r="J66" s="223"/>
      <c r="K66" s="224"/>
    </row>
    <row r="67" spans="2:11" s="97" customFormat="1" ht="12">
      <c r="B67" s="266"/>
      <c r="C67" s="262"/>
      <c r="D67" s="225" t="s">
        <v>129</v>
      </c>
      <c r="E67" s="225"/>
      <c r="F67" s="233"/>
      <c r="G67" s="233"/>
      <c r="H67" s="233"/>
      <c r="I67" s="233"/>
      <c r="J67" s="233"/>
      <c r="K67" s="234"/>
    </row>
    <row r="68" spans="2:11" s="97" customFormat="1" ht="12">
      <c r="B68" s="266"/>
      <c r="C68" s="262"/>
      <c r="D68" s="225" t="s">
        <v>131</v>
      </c>
      <c r="E68" s="225"/>
      <c r="F68" s="233"/>
      <c r="G68" s="233"/>
      <c r="H68" s="233"/>
      <c r="I68" s="233"/>
      <c r="J68" s="233"/>
      <c r="K68" s="234"/>
    </row>
    <row r="69" spans="2:11" s="97" customFormat="1" ht="12">
      <c r="B69" s="266"/>
      <c r="C69" s="262"/>
      <c r="D69" s="225" t="s">
        <v>156</v>
      </c>
      <c r="E69" s="225"/>
      <c r="F69" s="233" t="s">
        <v>285</v>
      </c>
      <c r="G69" s="233"/>
      <c r="H69" s="233"/>
      <c r="I69" s="233"/>
      <c r="J69" s="233"/>
      <c r="K69" s="234"/>
    </row>
    <row r="70" spans="2:11" s="97" customFormat="1" ht="12">
      <c r="B70" s="266"/>
      <c r="C70" s="263"/>
      <c r="D70" s="229" t="s">
        <v>158</v>
      </c>
      <c r="E70" s="229"/>
      <c r="F70" s="235" t="s">
        <v>285</v>
      </c>
      <c r="G70" s="235"/>
      <c r="H70" s="235"/>
      <c r="I70" s="235"/>
      <c r="J70" s="235"/>
      <c r="K70" s="236"/>
    </row>
    <row r="71" spans="2:11" s="97" customFormat="1" ht="12">
      <c r="B71" s="266"/>
      <c r="C71" s="261" t="s">
        <v>137</v>
      </c>
      <c r="D71" s="264" t="s">
        <v>138</v>
      </c>
      <c r="E71" s="264"/>
      <c r="F71" s="223" t="s">
        <v>286</v>
      </c>
      <c r="G71" s="223"/>
      <c r="H71" s="223"/>
      <c r="I71" s="223"/>
      <c r="J71" s="223"/>
      <c r="K71" s="224"/>
    </row>
    <row r="72" spans="2:11" s="97" customFormat="1" ht="12">
      <c r="B72" s="266"/>
      <c r="C72" s="262"/>
      <c r="D72" s="225" t="s">
        <v>140</v>
      </c>
      <c r="E72" s="225"/>
      <c r="F72" s="233" t="s">
        <v>287</v>
      </c>
      <c r="G72" s="233"/>
      <c r="H72" s="233"/>
      <c r="I72" s="233"/>
      <c r="J72" s="233"/>
      <c r="K72" s="234"/>
    </row>
    <row r="73" spans="2:11" s="97" customFormat="1" ht="12">
      <c r="B73" s="266"/>
      <c r="C73" s="262"/>
      <c r="D73" s="225" t="s">
        <v>142</v>
      </c>
      <c r="E73" s="225"/>
      <c r="F73" s="233" t="s">
        <v>288</v>
      </c>
      <c r="G73" s="233"/>
      <c r="H73" s="233"/>
      <c r="I73" s="233"/>
      <c r="J73" s="233"/>
      <c r="K73" s="234"/>
    </row>
    <row r="74" spans="2:11" s="97" customFormat="1" ht="12">
      <c r="B74" s="267"/>
      <c r="C74" s="263"/>
      <c r="D74" s="229" t="s">
        <v>144</v>
      </c>
      <c r="E74" s="229"/>
      <c r="F74" s="235" t="s">
        <v>289</v>
      </c>
      <c r="G74" s="235"/>
      <c r="H74" s="235"/>
      <c r="I74" s="235"/>
      <c r="J74" s="235"/>
      <c r="K74" s="236"/>
    </row>
    <row r="75" spans="2:11" s="97" customFormat="1" ht="12">
      <c r="B75" s="216" t="s">
        <v>290</v>
      </c>
      <c r="C75" s="219" t="s">
        <v>290</v>
      </c>
      <c r="D75" s="222" t="s">
        <v>147</v>
      </c>
      <c r="E75" s="222"/>
      <c r="F75" s="223" t="s">
        <v>291</v>
      </c>
      <c r="G75" s="223"/>
      <c r="H75" s="223"/>
      <c r="I75" s="223"/>
      <c r="J75" s="223"/>
      <c r="K75" s="224"/>
    </row>
    <row r="76" spans="2:11" s="97" customFormat="1" ht="12">
      <c r="B76" s="217"/>
      <c r="C76" s="220"/>
      <c r="D76" s="225" t="s">
        <v>149</v>
      </c>
      <c r="E76" s="225"/>
      <c r="F76" s="233" t="s">
        <v>292</v>
      </c>
      <c r="G76" s="233"/>
      <c r="H76" s="233"/>
      <c r="I76" s="233"/>
      <c r="J76" s="233"/>
      <c r="K76" s="234"/>
    </row>
    <row r="77" spans="2:11" s="97" customFormat="1" ht="12">
      <c r="B77" s="217"/>
      <c r="C77" s="220"/>
      <c r="D77" s="225" t="s">
        <v>151</v>
      </c>
      <c r="E77" s="225"/>
      <c r="F77" s="233" t="s">
        <v>293</v>
      </c>
      <c r="G77" s="233"/>
      <c r="H77" s="233"/>
      <c r="I77" s="233"/>
      <c r="J77" s="233"/>
      <c r="K77" s="234"/>
    </row>
    <row r="78" spans="2:11" s="97" customFormat="1" ht="12">
      <c r="B78" s="217"/>
      <c r="C78" s="221"/>
      <c r="D78" s="229" t="s">
        <v>153</v>
      </c>
      <c r="E78" s="229"/>
      <c r="F78" s="235" t="s">
        <v>294</v>
      </c>
      <c r="G78" s="235"/>
      <c r="H78" s="235"/>
      <c r="I78" s="235"/>
      <c r="J78" s="235"/>
      <c r="K78" s="236"/>
    </row>
    <row r="79" spans="2:11" s="97" customFormat="1" ht="12">
      <c r="B79" s="217"/>
      <c r="C79" s="219" t="s">
        <v>155</v>
      </c>
      <c r="D79" s="222" t="s">
        <v>156</v>
      </c>
      <c r="E79" s="222"/>
      <c r="F79" s="237" t="s">
        <v>295</v>
      </c>
      <c r="G79" s="238"/>
      <c r="H79" s="238"/>
      <c r="I79" s="238"/>
      <c r="J79" s="238"/>
      <c r="K79" s="239"/>
    </row>
    <row r="80" spans="2:11" s="97" customFormat="1" ht="12">
      <c r="B80" s="217"/>
      <c r="C80" s="220"/>
      <c r="D80" s="225" t="s">
        <v>158</v>
      </c>
      <c r="E80" s="225"/>
      <c r="F80" s="226" t="s">
        <v>296</v>
      </c>
      <c r="G80" s="227"/>
      <c r="H80" s="227"/>
      <c r="I80" s="227"/>
      <c r="J80" s="227"/>
      <c r="K80" s="228"/>
    </row>
    <row r="81" spans="2:11" s="97" customFormat="1" ht="12">
      <c r="B81" s="217"/>
      <c r="C81" s="220"/>
      <c r="D81" s="225" t="s">
        <v>160</v>
      </c>
      <c r="E81" s="225"/>
      <c r="F81" s="226" t="s">
        <v>297</v>
      </c>
      <c r="G81" s="227"/>
      <c r="H81" s="227"/>
      <c r="I81" s="227"/>
      <c r="J81" s="227"/>
      <c r="K81" s="228"/>
    </row>
    <row r="82" spans="2:11" s="97" customFormat="1" ht="12">
      <c r="B82" s="217"/>
      <c r="C82" s="220"/>
      <c r="D82" s="225" t="s">
        <v>162</v>
      </c>
      <c r="E82" s="225"/>
      <c r="F82" s="226" t="s">
        <v>298</v>
      </c>
      <c r="G82" s="227"/>
      <c r="H82" s="227"/>
      <c r="I82" s="227"/>
      <c r="J82" s="227"/>
      <c r="K82" s="228"/>
    </row>
    <row r="83" spans="2:11" s="97" customFormat="1" ht="12">
      <c r="B83" s="217"/>
      <c r="C83" s="221"/>
      <c r="D83" s="229" t="s">
        <v>164</v>
      </c>
      <c r="E83" s="229"/>
      <c r="F83" s="230" t="s">
        <v>299</v>
      </c>
      <c r="G83" s="231"/>
      <c r="H83" s="231"/>
      <c r="I83" s="231"/>
      <c r="J83" s="231"/>
      <c r="K83" s="232"/>
    </row>
    <row r="84" spans="2:11" s="97" customFormat="1" ht="12">
      <c r="B84" s="217"/>
      <c r="C84" s="219" t="s">
        <v>166</v>
      </c>
      <c r="D84" s="256" t="s">
        <v>167</v>
      </c>
      <c r="E84" s="256"/>
      <c r="F84" s="257" t="s">
        <v>300</v>
      </c>
      <c r="G84" s="257"/>
      <c r="H84" s="257"/>
      <c r="I84" s="257"/>
      <c r="J84" s="257"/>
      <c r="K84" s="258"/>
    </row>
    <row r="85" spans="2:11" s="97" customFormat="1" ht="12">
      <c r="B85" s="217"/>
      <c r="C85" s="220"/>
      <c r="D85" s="225" t="s">
        <v>169</v>
      </c>
      <c r="E85" s="225"/>
      <c r="F85" s="233" t="s">
        <v>301</v>
      </c>
      <c r="G85" s="233"/>
      <c r="H85" s="233"/>
      <c r="I85" s="233"/>
      <c r="J85" s="233"/>
      <c r="K85" s="234"/>
    </row>
    <row r="86" spans="2:11" s="97" customFormat="1" ht="12">
      <c r="B86" s="217"/>
      <c r="C86" s="220"/>
      <c r="D86" s="225" t="s">
        <v>171</v>
      </c>
      <c r="E86" s="225"/>
      <c r="F86" s="233" t="s">
        <v>172</v>
      </c>
      <c r="G86" s="233"/>
      <c r="H86" s="233"/>
      <c r="I86" s="233"/>
      <c r="J86" s="233"/>
      <c r="K86" s="234"/>
    </row>
    <row r="87" spans="2:11" s="97" customFormat="1" ht="12">
      <c r="B87" s="218"/>
      <c r="C87" s="221"/>
      <c r="D87" s="229" t="s">
        <v>173</v>
      </c>
      <c r="E87" s="229"/>
      <c r="F87" s="235" t="s">
        <v>302</v>
      </c>
      <c r="G87" s="235"/>
      <c r="H87" s="235"/>
      <c r="I87" s="235"/>
      <c r="J87" s="235"/>
      <c r="K87" s="236"/>
    </row>
    <row r="88" spans="2:11" s="97" customFormat="1" ht="12">
      <c r="B88" s="259" t="s">
        <v>303</v>
      </c>
      <c r="C88" s="100" t="s">
        <v>304</v>
      </c>
      <c r="D88" s="260" t="s">
        <v>305</v>
      </c>
      <c r="E88" s="260"/>
      <c r="F88" s="214" t="s">
        <v>306</v>
      </c>
      <c r="G88" s="214"/>
      <c r="H88" s="214"/>
      <c r="I88" s="214"/>
      <c r="J88" s="214"/>
      <c r="K88" s="215"/>
    </row>
    <row r="89" spans="2:11" s="97" customFormat="1" ht="12">
      <c r="B89" s="259"/>
      <c r="C89" s="100" t="s">
        <v>307</v>
      </c>
      <c r="D89" s="260" t="s">
        <v>308</v>
      </c>
      <c r="E89" s="260"/>
      <c r="F89" s="214" t="s">
        <v>309</v>
      </c>
      <c r="G89" s="214"/>
      <c r="H89" s="214"/>
      <c r="I89" s="214"/>
      <c r="J89" s="214"/>
      <c r="K89" s="215"/>
    </row>
    <row r="90" spans="2:11" s="97" customFormat="1" ht="12.75" thickBot="1">
      <c r="B90" s="101" t="s">
        <v>310</v>
      </c>
      <c r="C90" s="102" t="s">
        <v>310</v>
      </c>
      <c r="D90" s="211" t="s">
        <v>310</v>
      </c>
      <c r="E90" s="211"/>
      <c r="F90" s="212" t="s">
        <v>311</v>
      </c>
      <c r="G90" s="212"/>
      <c r="H90" s="212"/>
      <c r="I90" s="212"/>
      <c r="J90" s="212"/>
      <c r="K90" s="213"/>
    </row>
    <row r="93" spans="2:11" ht="17.25" thickBot="1">
      <c r="B93" s="58" t="s">
        <v>312</v>
      </c>
    </row>
    <row r="94" spans="2:11">
      <c r="B94" s="240" t="s">
        <v>313</v>
      </c>
      <c r="C94" s="242" t="s">
        <v>314</v>
      </c>
      <c r="D94" s="244" t="s">
        <v>315</v>
      </c>
      <c r="E94" s="245"/>
      <c r="F94" s="246"/>
      <c r="G94" s="247" t="s">
        <v>316</v>
      </c>
      <c r="H94" s="248"/>
      <c r="I94" s="249"/>
    </row>
    <row r="95" spans="2:11">
      <c r="B95" s="241"/>
      <c r="C95" s="243"/>
      <c r="D95" s="250" t="s">
        <v>317</v>
      </c>
      <c r="E95" s="251"/>
      <c r="F95" s="252"/>
      <c r="G95" s="253" t="s">
        <v>318</v>
      </c>
      <c r="H95" s="254"/>
      <c r="I95" s="255"/>
    </row>
    <row r="96" spans="2:11">
      <c r="B96" s="59" t="s">
        <v>319</v>
      </c>
      <c r="C96" s="60" t="s">
        <v>320</v>
      </c>
      <c r="D96" s="199" t="s">
        <v>321</v>
      </c>
      <c r="E96" s="200"/>
      <c r="F96" s="201"/>
      <c r="G96" s="202" t="s">
        <v>321</v>
      </c>
      <c r="H96" s="203"/>
      <c r="I96" s="204"/>
    </row>
    <row r="97" spans="2:9">
      <c r="B97" s="59" t="s">
        <v>322</v>
      </c>
      <c r="C97" s="60" t="s">
        <v>323</v>
      </c>
      <c r="D97" s="199" t="s">
        <v>324</v>
      </c>
      <c r="E97" s="200"/>
      <c r="F97" s="201"/>
      <c r="G97" s="202" t="s">
        <v>324</v>
      </c>
      <c r="H97" s="203"/>
      <c r="I97" s="204"/>
    </row>
    <row r="98" spans="2:9">
      <c r="B98" s="59" t="s">
        <v>325</v>
      </c>
      <c r="C98" s="60" t="s">
        <v>326</v>
      </c>
      <c r="D98" s="199" t="s">
        <v>327</v>
      </c>
      <c r="E98" s="200"/>
      <c r="F98" s="201"/>
      <c r="G98" s="202" t="s">
        <v>327</v>
      </c>
      <c r="H98" s="203"/>
      <c r="I98" s="204"/>
    </row>
    <row r="99" spans="2:9">
      <c r="B99" s="59" t="s">
        <v>328</v>
      </c>
      <c r="C99" s="60" t="s">
        <v>329</v>
      </c>
      <c r="D99" s="199" t="s">
        <v>330</v>
      </c>
      <c r="E99" s="200"/>
      <c r="F99" s="201"/>
      <c r="G99" s="202" t="s">
        <v>330</v>
      </c>
      <c r="H99" s="203"/>
      <c r="I99" s="204"/>
    </row>
    <row r="100" spans="2:9" ht="17.25" thickBot="1">
      <c r="B100" s="61" t="s">
        <v>331</v>
      </c>
      <c r="C100" s="62" t="s">
        <v>332</v>
      </c>
      <c r="D100" s="205" t="s">
        <v>333</v>
      </c>
      <c r="E100" s="206"/>
      <c r="F100" s="207"/>
      <c r="G100" s="208" t="s">
        <v>333</v>
      </c>
      <c r="H100" s="209"/>
      <c r="I100" s="210"/>
    </row>
  </sheetData>
  <mergeCells count="201">
    <mergeCell ref="B2:G2"/>
    <mergeCell ref="F3:G3"/>
    <mergeCell ref="H4:K4"/>
    <mergeCell ref="H8:K8"/>
    <mergeCell ref="F9:K9"/>
    <mergeCell ref="B17:C17"/>
    <mergeCell ref="D17:K17"/>
    <mergeCell ref="B18:C18"/>
    <mergeCell ref="D18:K18"/>
    <mergeCell ref="B14:C14"/>
    <mergeCell ref="D14:K14"/>
    <mergeCell ref="B11:C11"/>
    <mergeCell ref="D11:K11"/>
    <mergeCell ref="B12:C12"/>
    <mergeCell ref="D12:K12"/>
    <mergeCell ref="B13:C13"/>
    <mergeCell ref="D13:K13"/>
    <mergeCell ref="H3:K3"/>
    <mergeCell ref="H7:K7"/>
    <mergeCell ref="B19:C19"/>
    <mergeCell ref="D19:K19"/>
    <mergeCell ref="B15:C15"/>
    <mergeCell ref="D15:K15"/>
    <mergeCell ref="B16:C16"/>
    <mergeCell ref="D16:K16"/>
    <mergeCell ref="D27:E27"/>
    <mergeCell ref="F27:K27"/>
    <mergeCell ref="B20:C20"/>
    <mergeCell ref="D20:K20"/>
    <mergeCell ref="B21:C21"/>
    <mergeCell ref="D21:K21"/>
    <mergeCell ref="B22:C22"/>
    <mergeCell ref="D22:K22"/>
    <mergeCell ref="D24:E24"/>
    <mergeCell ref="F24:K24"/>
    <mergeCell ref="D25:E25"/>
    <mergeCell ref="F25:K25"/>
    <mergeCell ref="B26:B37"/>
    <mergeCell ref="C26:C30"/>
    <mergeCell ref="D26:E26"/>
    <mergeCell ref="F26:K26"/>
    <mergeCell ref="C31:C33"/>
    <mergeCell ref="C34:C37"/>
    <mergeCell ref="D28:E28"/>
    <mergeCell ref="F28:K28"/>
    <mergeCell ref="D29:E29"/>
    <mergeCell ref="F29:K29"/>
    <mergeCell ref="D30:E30"/>
    <mergeCell ref="F30:K30"/>
    <mergeCell ref="D31:E31"/>
    <mergeCell ref="F31:K31"/>
    <mergeCell ref="F36:K36"/>
    <mergeCell ref="D32:E32"/>
    <mergeCell ref="F32:K32"/>
    <mergeCell ref="D33:E33"/>
    <mergeCell ref="F33:K33"/>
    <mergeCell ref="D34:E34"/>
    <mergeCell ref="D43:E43"/>
    <mergeCell ref="F43:K43"/>
    <mergeCell ref="F34:K34"/>
    <mergeCell ref="D35:E35"/>
    <mergeCell ref="F35:K35"/>
    <mergeCell ref="D36:E36"/>
    <mergeCell ref="D40:E40"/>
    <mergeCell ref="F40:K40"/>
    <mergeCell ref="D41:E41"/>
    <mergeCell ref="F41:K41"/>
    <mergeCell ref="D42:E42"/>
    <mergeCell ref="F42:K42"/>
    <mergeCell ref="D37:E37"/>
    <mergeCell ref="F37:K37"/>
    <mergeCell ref="D38:E38"/>
    <mergeCell ref="F38:K38"/>
    <mergeCell ref="D48:E48"/>
    <mergeCell ref="F48:K48"/>
    <mergeCell ref="D49:E49"/>
    <mergeCell ref="F49:K49"/>
    <mergeCell ref="D50:E50"/>
    <mergeCell ref="F50:K50"/>
    <mergeCell ref="F44:K44"/>
    <mergeCell ref="D45:E45"/>
    <mergeCell ref="F45:K45"/>
    <mergeCell ref="D46:E46"/>
    <mergeCell ref="F63:K63"/>
    <mergeCell ref="D64:E64"/>
    <mergeCell ref="F64:K64"/>
    <mergeCell ref="D65:E65"/>
    <mergeCell ref="D39:E39"/>
    <mergeCell ref="F39:K39"/>
    <mergeCell ref="D55:E55"/>
    <mergeCell ref="F55:K55"/>
    <mergeCell ref="D56:E56"/>
    <mergeCell ref="F56:K56"/>
    <mergeCell ref="D57:E57"/>
    <mergeCell ref="F57:K57"/>
    <mergeCell ref="F46:K46"/>
    <mergeCell ref="D47:E47"/>
    <mergeCell ref="F47:K47"/>
    <mergeCell ref="D51:E51"/>
    <mergeCell ref="F51:K51"/>
    <mergeCell ref="D52:E52"/>
    <mergeCell ref="F52:K52"/>
    <mergeCell ref="D53:E53"/>
    <mergeCell ref="F53:K53"/>
    <mergeCell ref="D54:E54"/>
    <mergeCell ref="F54:K54"/>
    <mergeCell ref="D44:E44"/>
    <mergeCell ref="C71:C74"/>
    <mergeCell ref="D71:E71"/>
    <mergeCell ref="F71:K71"/>
    <mergeCell ref="D72:E72"/>
    <mergeCell ref="B38:B51"/>
    <mergeCell ref="C38:C45"/>
    <mergeCell ref="C46:C51"/>
    <mergeCell ref="B52:B74"/>
    <mergeCell ref="C52:C54"/>
    <mergeCell ref="C55:C56"/>
    <mergeCell ref="C57:C59"/>
    <mergeCell ref="D58:E58"/>
    <mergeCell ref="F58:K58"/>
    <mergeCell ref="D59:E59"/>
    <mergeCell ref="F59:K59"/>
    <mergeCell ref="C60:C61"/>
    <mergeCell ref="D60:E60"/>
    <mergeCell ref="F60:K60"/>
    <mergeCell ref="D61:E61"/>
    <mergeCell ref="F61:K61"/>
    <mergeCell ref="C62:C65"/>
    <mergeCell ref="D62:E62"/>
    <mergeCell ref="F62:K62"/>
    <mergeCell ref="D63:E63"/>
    <mergeCell ref="F65:K65"/>
    <mergeCell ref="C66:C70"/>
    <mergeCell ref="D66:E66"/>
    <mergeCell ref="F66:K66"/>
    <mergeCell ref="D67:E67"/>
    <mergeCell ref="F67:K67"/>
    <mergeCell ref="D68:E68"/>
    <mergeCell ref="F68:K68"/>
    <mergeCell ref="D69:E69"/>
    <mergeCell ref="F69:K69"/>
    <mergeCell ref="D70:E70"/>
    <mergeCell ref="F70:K70"/>
    <mergeCell ref="F72:K72"/>
    <mergeCell ref="D73:E73"/>
    <mergeCell ref="F73:K73"/>
    <mergeCell ref="D74:E74"/>
    <mergeCell ref="F74:K74"/>
    <mergeCell ref="B94:B95"/>
    <mergeCell ref="C94:C95"/>
    <mergeCell ref="D94:F94"/>
    <mergeCell ref="G94:I94"/>
    <mergeCell ref="D95:F95"/>
    <mergeCell ref="G95:I95"/>
    <mergeCell ref="C84:C87"/>
    <mergeCell ref="D84:E84"/>
    <mergeCell ref="F84:K84"/>
    <mergeCell ref="D85:E85"/>
    <mergeCell ref="F85:K85"/>
    <mergeCell ref="D86:E86"/>
    <mergeCell ref="F86:K86"/>
    <mergeCell ref="D87:E87"/>
    <mergeCell ref="F87:K87"/>
    <mergeCell ref="B88:B89"/>
    <mergeCell ref="D88:E88"/>
    <mergeCell ref="F88:K88"/>
    <mergeCell ref="D89:E89"/>
    <mergeCell ref="F89:K89"/>
    <mergeCell ref="B75:B87"/>
    <mergeCell ref="C75:C78"/>
    <mergeCell ref="D75:E75"/>
    <mergeCell ref="F75:K75"/>
    <mergeCell ref="D76:E76"/>
    <mergeCell ref="D82:E82"/>
    <mergeCell ref="F82:K82"/>
    <mergeCell ref="D83:E83"/>
    <mergeCell ref="F83:K83"/>
    <mergeCell ref="F76:K76"/>
    <mergeCell ref="D77:E77"/>
    <mergeCell ref="F77:K77"/>
    <mergeCell ref="D78:E78"/>
    <mergeCell ref="F78:K78"/>
    <mergeCell ref="C79:C83"/>
    <mergeCell ref="D79:E79"/>
    <mergeCell ref="F79:K79"/>
    <mergeCell ref="D80:E80"/>
    <mergeCell ref="F80:K80"/>
    <mergeCell ref="D81:E81"/>
    <mergeCell ref="F81:K81"/>
    <mergeCell ref="D97:F97"/>
    <mergeCell ref="G97:I97"/>
    <mergeCell ref="D98:F98"/>
    <mergeCell ref="G98:I98"/>
    <mergeCell ref="D99:F99"/>
    <mergeCell ref="G99:I99"/>
    <mergeCell ref="D100:F100"/>
    <mergeCell ref="G100:I100"/>
    <mergeCell ref="D90:E90"/>
    <mergeCell ref="F90:K90"/>
    <mergeCell ref="D96:F96"/>
    <mergeCell ref="G96:I96"/>
  </mergeCells>
  <phoneticPr fontId="28" type="noConversion"/>
  <pageMargins left="0.7" right="0.7" top="0.75" bottom="0.75" header="0.3" footer="0.3"/>
  <pageSetup paperSize="9"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6</vt:i4>
      </vt:variant>
    </vt:vector>
  </HeadingPairs>
  <TitlesOfParts>
    <vt:vector size="10" baseType="lpstr">
      <vt:lpstr>개정이력</vt:lpstr>
      <vt:lpstr>첨부1.실행예산상세정산</vt:lpstr>
      <vt:lpstr>2-3.차량유지비청구서</vt:lpstr>
      <vt:lpstr>8.설명자료</vt:lpstr>
      <vt:lpstr>'2-3.차량유지비청구서'!Print_Area</vt:lpstr>
      <vt:lpstr>'8.설명자료'!Print_Area</vt:lpstr>
      <vt:lpstr>개정이력!Print_Area</vt:lpstr>
      <vt:lpstr>첨부1.실행예산상세정산!Print_Area</vt:lpstr>
      <vt:lpstr>개정이력!Print_Titles</vt:lpstr>
      <vt:lpstr>첨부1.실행예산상세정산!Print_Titles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kdg</dc:creator>
  <cp:keywords/>
  <dc:description/>
  <cp:lastModifiedBy>정 시내</cp:lastModifiedBy>
  <cp:revision/>
  <dcterms:created xsi:type="dcterms:W3CDTF">2012-10-29T06:04:55Z</dcterms:created>
  <dcterms:modified xsi:type="dcterms:W3CDTF">2026-05-28T08:58:26Z</dcterms:modified>
  <cp:category/>
  <cp:contentStatus/>
</cp:coreProperties>
</file>